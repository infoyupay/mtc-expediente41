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comments7.xml" ContentType="application/vnd.openxmlformats-officedocument.spreadsheetml.comments+xml"/>
  <Override PartName="/xl/comments2.xml" ContentType="application/vnd.openxmlformats-officedocument.spreadsheetml.comment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ctrlProps/ctrlProps18.xml" ContentType="application/vnd.ms-excel.controlproperties+xml"/>
  <Override PartName="/xl/ctrlProps/ctrlProps20.xml" ContentType="application/vnd.ms-excel.controlproperties+xml"/>
  <Override PartName="/xl/ctrlProps/ctrlProps10.xml" ContentType="application/vnd.ms-excel.controlproperties+xml"/>
  <Override PartName="/xl/ctrlProps/ctrlProps16.xml" ContentType="application/vnd.ms-excel.controlproperties+xml"/>
  <Override PartName="/xl/ctrlProps/ctrlProps15.xml" ContentType="application/vnd.ms-excel.controlproperties+xml"/>
  <Override PartName="/xl/ctrlProps/ctrlProps14.xml" ContentType="application/vnd.ms-excel.controlproperties+xml"/>
  <Override PartName="/xl/ctrlProps/ctrlProps4.xml" ContentType="application/vnd.ms-excel.controlproperties+xml"/>
  <Override PartName="/xl/ctrlProps/ctrlProps6.xml" ContentType="application/vnd.ms-excel.controlproperties+xml"/>
  <Override PartName="/xl/ctrlProps/ctrlProps24.xml" ContentType="application/vnd.ms-excel.controlproperties+xml"/>
  <Override PartName="/xl/ctrlProps/ctrlProps23.xml" ContentType="application/vnd.ms-excel.controlproperties+xml"/>
  <Override PartName="/xl/ctrlProps/ctrlProps31.xml" ContentType="application/vnd.ms-excel.controlproperties+xml"/>
  <Override PartName="/xl/ctrlProps/ctrlProps22.xml" ContentType="application/vnd.ms-excel.controlproperties+xml"/>
  <Override PartName="/xl/ctrlProps/ctrlProps30.xml" ContentType="application/vnd.ms-excel.controlproperties+xml"/>
  <Override PartName="/xl/ctrlProps/ctrlProps7.xml" ContentType="application/vnd.ms-excel.controlproperties+xml"/>
  <Override PartName="/xl/ctrlProps/ctrlProps19.xml" ContentType="application/vnd.ms-excel.controlproperties+xml"/>
  <Override PartName="/xl/ctrlProps/ctrlProps12.xml" ContentType="application/vnd.ms-excel.controlproperties+xml"/>
  <Override PartName="/xl/ctrlProps/ctrlProps28.xml" ContentType="application/vnd.ms-excel.controlproperties+xml"/>
  <Override PartName="/xl/ctrlProps/ctrlProps2.xml" ContentType="application/vnd.ms-excel.controlproperties+xml"/>
  <Override PartName="/xl/ctrlProps/ctrlProps32.xml" ContentType="application/vnd.ms-excel.controlproperties+xml"/>
  <Override PartName="/xl/ctrlProps/ctrlProps27.xml" ContentType="application/vnd.ms-excel.controlproperties+xml"/>
  <Override PartName="/xl/ctrlProps/ctrlProps26.xml" ContentType="application/vnd.ms-excel.controlproperties+xml"/>
  <Override PartName="/xl/ctrlProps/ctrlProps11.xml" ContentType="application/vnd.ms-excel.controlproperties+xml"/>
  <Override PartName="/xl/ctrlProps/ctrlProps8.xml" ContentType="application/vnd.ms-excel.controlproperties+xml"/>
  <Override PartName="/xl/ctrlProps/ctrlProps3.xml" ContentType="application/vnd.ms-excel.controlproperties+xml"/>
  <Override PartName="/xl/comments6.xml" ContentType="application/vnd.openxmlformats-officedocument.spreadsheetml.comments+xml"/>
  <Override PartName="/xl/comments4.xml" ContentType="application/vnd.openxmlformats-officedocument.spreadsheetml.comments+xml"/>
  <Override PartName="/xl/comments8.xml" ContentType="application/vnd.openxmlformats-officedocument.spreadsheetml.comments+xml"/>
  <Override PartName="/xl/comments1.xml" ContentType="application/vnd.openxmlformats-officedocument.spreadsheetml.comments+xml"/>
  <Override PartName="/xl/drawings/vmlDrawing5.vml" ContentType="application/vnd.openxmlformats-officedocument.vmlDrawing"/>
  <Override PartName="/xl/drawings/vmlDrawing4.vml" ContentType="application/vnd.openxmlformats-officedocument.vmlDrawing"/>
  <Override PartName="/xl/drawings/drawing29.xml" ContentType="application/vnd.openxmlformats-officedocument.drawing+xml"/>
  <Override PartName="/xl/drawings/drawing1.xml" ContentType="application/vnd.openxmlformats-officedocument.drawing+xml"/>
  <Override PartName="/xl/drawings/vmlDrawing6.vml" ContentType="application/vnd.openxmlformats-officedocument.vmlDrawing"/>
  <Override PartName="/xl/drawings/drawing21.xml" ContentType="application/vnd.openxmlformats-officedocument.drawing+xml"/>
  <Override PartName="/xl/drawings/vmlDrawing2.vml" ContentType="application/vnd.openxmlformats-officedocument.vmlDrawing"/>
  <Override PartName="/xl/drawings/vmlDrawing8.vml" ContentType="application/vnd.openxmlformats-officedocument.vmlDrawing"/>
  <Override PartName="/xl/drawings/vmlDrawing7.vml" ContentType="application/vnd.openxmlformats-officedocument.vmlDrawing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5.xml" ContentType="application/vnd.openxmlformats-officedocument.drawing+xml"/>
  <Override PartName="/xl/drawings/drawing9.xml" ContentType="application/vnd.openxmlformats-officedocument.drawing+xml"/>
  <Override PartName="/xl/drawings/drawing5.xml" ContentType="application/vnd.openxmlformats-officedocument.drawing+xml"/>
  <Override PartName="/xl/drawings/drawing17.xml" ContentType="application/vnd.openxmlformats-officedocument.drawing+xml"/>
  <Override PartName="/xl/drawings/drawing13.xml" ContentType="application/vnd.openxmlformats-officedocument.drawing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01" sheetId="1" state="visible" r:id="rId3"/>
    <sheet name="1002" sheetId="2" state="visible" r:id="rId4"/>
    <sheet name="1003" sheetId="3" state="visible" r:id="rId5"/>
    <sheet name="1004" sheetId="4" state="visible" r:id="rId6"/>
    <sheet name="1005" sheetId="5" state="visible" r:id="rId7"/>
    <sheet name="1006" sheetId="6" state="visible" r:id="rId8"/>
    <sheet name="1007" sheetId="7" state="visible" r:id="rId9"/>
    <sheet name="1008" sheetId="8" state="visible" r:id="rId10"/>
  </sheets>
  <definedNames>
    <definedName function="false" hidden="false" localSheetId="0" name="_xlnm.Print_Area" vbProcedure="false">'1001'!$A$1:$F$75</definedName>
    <definedName function="false" hidden="false" localSheetId="0" name="_xlnm.Print_Titles" vbProcedure="false">'1001'!$1:$2</definedName>
    <definedName function="false" hidden="false" localSheetId="1" name="_xlnm.Print_Area" vbProcedure="false">'1002'!$A$1:$F$75</definedName>
    <definedName function="false" hidden="false" localSheetId="1" name="_xlnm.Print_Titles" vbProcedure="false">'1002'!$1:$2</definedName>
    <definedName function="false" hidden="false" localSheetId="2" name="_xlnm.Print_Area" vbProcedure="false">'1003'!$A$1:$F$75</definedName>
    <definedName function="false" hidden="false" localSheetId="2" name="_xlnm.Print_Titles" vbProcedure="false">'1003'!$1:$2</definedName>
    <definedName function="false" hidden="false" localSheetId="3" name="_xlnm.Print_Area" vbProcedure="false">'1004'!$A$1:$F$75</definedName>
    <definedName function="false" hidden="false" localSheetId="3" name="_xlnm.Print_Titles" vbProcedure="false">'1004'!$1:$2</definedName>
    <definedName function="false" hidden="false" localSheetId="4" name="_xlnm.Print_Area" vbProcedure="false">'1005'!$A$1:$F$75</definedName>
    <definedName function="false" hidden="false" localSheetId="4" name="_xlnm.Print_Titles" vbProcedure="false">'1005'!$1:$2</definedName>
    <definedName function="false" hidden="false" localSheetId="5" name="_xlnm.Print_Area" vbProcedure="false">'1006'!$A$1:$F$75</definedName>
    <definedName function="false" hidden="false" localSheetId="5" name="_xlnm.Print_Titles" vbProcedure="false">'1006'!$1:$2</definedName>
    <definedName function="false" hidden="false" localSheetId="6" name="_xlnm.Print_Area" vbProcedure="false">'1007'!$A$1:$F$75</definedName>
    <definedName function="false" hidden="false" localSheetId="6" name="_xlnm.Print_Titles" vbProcedure="false">'1007'!$1:$2</definedName>
    <definedName function="false" hidden="false" localSheetId="7" name="_xlnm.Print_Area" vbProcedure="false">'1008'!$A$1:$F$75</definedName>
    <definedName function="false" hidden="false" localSheetId="7" name="_xlnm.Print_Titles" vbProcedure="false">'1008'!$1:$2</definedName>
    <definedName function="false" hidden="false" localSheetId="0" name="DATO1" vbProcedure="false">'1001'!$C$2</definedName>
    <definedName function="false" hidden="false" localSheetId="0" name="DATO10" vbProcedure="false">'1001'!$F$11</definedName>
    <definedName function="false" hidden="false" localSheetId="0" name="DATO106" vbProcedure="false">'1001'!$C$75</definedName>
    <definedName function="false" hidden="false" localSheetId="0" name="DATO11" vbProcedure="false">'1001'!$C$12</definedName>
    <definedName function="false" hidden="false" localSheetId="0" name="DATO12" vbProcedure="false">'1001'!$F$12</definedName>
    <definedName function="false" hidden="false" localSheetId="0" name="DATO13" vbProcedure="false">'1001'!$C$13</definedName>
    <definedName function="false" hidden="false" localSheetId="0" name="DATO14" vbProcedure="false">'1001'!$F$13</definedName>
    <definedName function="false" hidden="false" localSheetId="0" name="DATO15" vbProcedure="false">'1001'!$C$14</definedName>
    <definedName function="false" hidden="false" localSheetId="0" name="DATO16" vbProcedure="false">'1001'!$F$14</definedName>
    <definedName function="false" hidden="false" localSheetId="0" name="DATO17" vbProcedure="false">'1001'!$C$15</definedName>
    <definedName function="false" hidden="false" localSheetId="0" name="DATO18" vbProcedure="false">'1001'!$F$15</definedName>
    <definedName function="false" hidden="false" localSheetId="0" name="DATO19" vbProcedure="false">'1001'!$C$16</definedName>
    <definedName function="false" hidden="false" localSheetId="0" name="DATO2" vbProcedure="false">'1001'!$D$4</definedName>
    <definedName function="false" hidden="false" localSheetId="0" name="DATO20" vbProcedure="false">'1001'!$F$16</definedName>
    <definedName function="false" hidden="false" localSheetId="0" name="DATO21" vbProcedure="false">'1001'!$C$17</definedName>
    <definedName function="false" hidden="false" localSheetId="0" name="DATO22" vbProcedure="false">'1001'!$F$17</definedName>
    <definedName function="false" hidden="false" localSheetId="0" name="DATO23" vbProcedure="false">'1001'!$C$18</definedName>
    <definedName function="false" hidden="false" localSheetId="0" name="DATO24" vbProcedure="false">'1001'!$F$18</definedName>
    <definedName function="false" hidden="false" localSheetId="0" name="DATO25" vbProcedure="false">'1001'!$C$19</definedName>
    <definedName function="false" hidden="false" localSheetId="0" name="DATO26" vbProcedure="false">'1001'!$F$19</definedName>
    <definedName function="false" hidden="false" localSheetId="0" name="DATO27" vbProcedure="false">'1001'!$C$20</definedName>
    <definedName function="false" hidden="false" localSheetId="0" name="DATO28" vbProcedure="false">'1001'!$C$22</definedName>
    <definedName function="false" hidden="false" localSheetId="0" name="DATO29" vbProcedure="false">'1001'!$F$22</definedName>
    <definedName function="false" hidden="false" localSheetId="0" name="DATO3" vbProcedure="false">'1001'!$D$5</definedName>
    <definedName function="false" hidden="false" localSheetId="0" name="DATO30" vbProcedure="false">'1001'!$C$23</definedName>
    <definedName function="false" hidden="false" localSheetId="0" name="DATO31" vbProcedure="false">'1001'!$F$23</definedName>
    <definedName function="false" hidden="false" localSheetId="0" name="DATO32" vbProcedure="false">'1001'!$C$24</definedName>
    <definedName function="false" hidden="false" localSheetId="0" name="DATO33" vbProcedure="false">'1001'!$F$24</definedName>
    <definedName function="false" hidden="false" localSheetId="0" name="DATO34" vbProcedure="false">'1001'!$C$25</definedName>
    <definedName function="false" hidden="false" localSheetId="0" name="DATO35" vbProcedure="false">'1001'!$F$25</definedName>
    <definedName function="false" hidden="false" localSheetId="0" name="DATO36" vbProcedure="false">'1001'!$C$26</definedName>
    <definedName function="false" hidden="false" localSheetId="0" name="DATO37" vbProcedure="false">'1001'!$F$26</definedName>
    <definedName function="false" hidden="false" localSheetId="0" name="DATO38" vbProcedure="false">'1001'!$C$27</definedName>
    <definedName function="false" hidden="false" localSheetId="0" name="DATO39" vbProcedure="false">'1001'!$F$27</definedName>
    <definedName function="false" hidden="false" localSheetId="0" name="DATO4" vbProcedure="false">'1001'!$D$6</definedName>
    <definedName function="false" hidden="false" localSheetId="0" name="DATO40" vbProcedure="false">'1001'!$C$28</definedName>
    <definedName function="false" hidden="false" localSheetId="0" name="DATO41" vbProcedure="false">'1001'!$F$28</definedName>
    <definedName function="false" hidden="false" localSheetId="0" name="DATO42" vbProcedure="false">'1001'!$C$29</definedName>
    <definedName function="false" hidden="false" localSheetId="0" name="DATO43" vbProcedure="false">'1001'!$F$29</definedName>
    <definedName function="false" hidden="false" localSheetId="0" name="DATO44" vbProcedure="false">'1001'!$C$30</definedName>
    <definedName function="false" hidden="false" localSheetId="0" name="DATO45" vbProcedure="false">'1001'!$F$30</definedName>
    <definedName function="false" hidden="false" localSheetId="0" name="DATO46" vbProcedure="false">'1001'!$C$31</definedName>
    <definedName function="false" hidden="false" localSheetId="0" name="DATO47" vbProcedure="false">'1001'!$C$33</definedName>
    <definedName function="false" hidden="false" localSheetId="0" name="DATO48" vbProcedure="false">'1001'!$C$34</definedName>
    <definedName function="false" hidden="false" localSheetId="0" name="DATO49" vbProcedure="false">'1001'!$C$35</definedName>
    <definedName function="false" hidden="false" localSheetId="0" name="DATO5" vbProcedure="false">'1001'!$D$7</definedName>
    <definedName function="false" hidden="false" localSheetId="0" name="DATO50" vbProcedure="false">'1001'!$F$35</definedName>
    <definedName function="false" hidden="false" localSheetId="0" name="DATO51" vbProcedure="false">'1001'!$C$36</definedName>
    <definedName function="false" hidden="false" localSheetId="0" name="DATO52" vbProcedure="false">'1001'!$F$36</definedName>
    <definedName function="false" hidden="false" localSheetId="0" name="DATO53" vbProcedure="false">'1001'!$C$37</definedName>
    <definedName function="false" hidden="false" localSheetId="0" name="DATO54" vbProcedure="false">'1001'!$C$38</definedName>
    <definedName function="false" hidden="false" localSheetId="0" name="DATO55" vbProcedure="false">'1001'!$C$39</definedName>
    <definedName function="false" hidden="false" localSheetId="0" name="DATO56" vbProcedure="false">'1001'!$F$39</definedName>
    <definedName function="false" hidden="false" localSheetId="0" name="DATO57" vbProcedure="false">'1001'!$C$40</definedName>
    <definedName function="false" hidden="false" localSheetId="0" name="DATO58" vbProcedure="false">'1001'!$F$40</definedName>
    <definedName function="false" hidden="false" localSheetId="0" name="DATO59" vbProcedure="false">'1001'!$C$41</definedName>
    <definedName function="false" hidden="false" localSheetId="0" name="DATO6" vbProcedure="false">'1001'!$D$8</definedName>
    <definedName function="false" hidden="false" localSheetId="0" name="DATO60" vbProcedure="false">'1001'!$F$41</definedName>
    <definedName function="false" hidden="false" localSheetId="0" name="DATO61" vbProcedure="false">'1001'!$C$42</definedName>
    <definedName function="false" hidden="false" localSheetId="0" name="DATO62" vbProcedure="false">'1001'!$F$42</definedName>
    <definedName function="false" hidden="false" localSheetId="0" name="DATO63" vbProcedure="false">'1001'!$C$44</definedName>
    <definedName function="false" hidden="false" localSheetId="0" name="DATO64" vbProcedure="false">'1001'!$F$44</definedName>
    <definedName function="false" hidden="false" localSheetId="0" name="DATO65" vbProcedure="false">'1001'!$C$45</definedName>
    <definedName function="false" hidden="false" localSheetId="0" name="DATO66" vbProcedure="false">'1001'!$F$45</definedName>
    <definedName function="false" hidden="false" localSheetId="0" name="DATO67" vbProcedure="false">'1001'!$C$46</definedName>
    <definedName function="false" hidden="false" localSheetId="0" name="DATO68" vbProcedure="false">'1001'!$F$46</definedName>
    <definedName function="false" hidden="false" localSheetId="0" name="DATO69" vbProcedure="false">'1001'!$C$47</definedName>
    <definedName function="false" hidden="false" localSheetId="0" name="DATO7" vbProcedure="false">'1001'!$C$10</definedName>
    <definedName function="false" hidden="false" localSheetId="0" name="DATO70" vbProcedure="false">'1001'!$F$47</definedName>
    <definedName function="false" hidden="false" localSheetId="0" name="DATO71" vbProcedure="false">'1001'!$C$48</definedName>
    <definedName function="false" hidden="false" localSheetId="0" name="DATO72" vbProcedure="false">'1001'!$F$48</definedName>
    <definedName function="false" hidden="false" localSheetId="0" name="DATO73" vbProcedure="false">'1001'!$C$50</definedName>
    <definedName function="false" hidden="false" localSheetId="0" name="DATO74" vbProcedure="false">'1001'!$F$50</definedName>
    <definedName function="false" hidden="false" localSheetId="0" name="DATO75" vbProcedure="false">'1001'!$C$51</definedName>
    <definedName function="false" hidden="false" localSheetId="0" name="DATO76" vbProcedure="false">'1001'!$F$51</definedName>
    <definedName function="false" hidden="false" localSheetId="0" name="DATO77" vbProcedure="false">'1001'!$C$52</definedName>
    <definedName function="false" hidden="false" localSheetId="0" name="DATO78" vbProcedure="false">'1001'!$F$52</definedName>
    <definedName function="false" hidden="false" localSheetId="0" name="DATO79" vbProcedure="false">'1001'!$C$53</definedName>
    <definedName function="false" hidden="false" localSheetId="0" name="DATO8" vbProcedure="false">'1001'!$F$10</definedName>
    <definedName function="false" hidden="false" localSheetId="0" name="DATO80" vbProcedure="false">'1001'!$F$53</definedName>
    <definedName function="false" hidden="false" localSheetId="0" name="DATO81" vbProcedure="false">'1001'!$C$54</definedName>
    <definedName function="false" hidden="false" localSheetId="0" name="DATO82" vbProcedure="false">'1001'!$C$56</definedName>
    <definedName function="false" hidden="false" localSheetId="0" name="DATO83" vbProcedure="false">'1001'!$F$56</definedName>
    <definedName function="false" hidden="false" localSheetId="0" name="DATO84" vbProcedure="false">'1001'!$C$57</definedName>
    <definedName function="false" hidden="false" localSheetId="0" name="DATO85" vbProcedure="false">'1001'!$F$57</definedName>
    <definedName function="false" hidden="false" localSheetId="0" name="DATO86" vbProcedure="false">'1001'!$C$59</definedName>
    <definedName function="false" hidden="false" localSheetId="0" name="DATO87" vbProcedure="false">'1001'!$C$60</definedName>
    <definedName function="false" hidden="false" localSheetId="0" name="DATO88" vbProcedure="false">'1001'!$F$60</definedName>
    <definedName function="false" hidden="false" localSheetId="0" name="DATO89" vbProcedure="false">'1001'!$C$61</definedName>
    <definedName function="false" hidden="false" localSheetId="0" name="DATO9" vbProcedure="false">'1001'!$C$11</definedName>
    <definedName function="false" hidden="false" localSheetId="0" name="DATO90" vbProcedure="false">'1001'!$F$61</definedName>
    <definedName function="false" hidden="false" localSheetId="0" name="DATO91" vbProcedure="false">'1001'!$C$62</definedName>
    <definedName function="false" hidden="false" localSheetId="0" name="DATO92" vbProcedure="false">'1001'!$F$62</definedName>
    <definedName function="false" hidden="false" localSheetId="0" name="DATO93" vbProcedure="false">'1001'!$C$63</definedName>
    <definedName function="false" hidden="false" localSheetId="0" name="DATO94" vbProcedure="false">'1001'!$F$63</definedName>
    <definedName function="false" hidden="false" localSheetId="0" name="DATO95" vbProcedure="false">'1001'!$C$64</definedName>
    <definedName function="false" hidden="false" localSheetId="0" name="DATO96" vbProcedure="false">'1001'!$F$64</definedName>
    <definedName function="false" hidden="false" localSheetId="0" name="DATO97" vbProcedure="false">'1001'!$C$65</definedName>
    <definedName function="false" hidden="false" localSheetId="1" name="DATO1" vbProcedure="false">'1002'!$C$2</definedName>
    <definedName function="false" hidden="false" localSheetId="1" name="DATO10" vbProcedure="false">'1002'!$F$11</definedName>
    <definedName function="false" hidden="false" localSheetId="1" name="DATO106" vbProcedure="false">'1002'!$C$75</definedName>
    <definedName function="false" hidden="false" localSheetId="1" name="DATO11" vbProcedure="false">'1002'!$C$12</definedName>
    <definedName function="false" hidden="false" localSheetId="1" name="DATO12" vbProcedure="false">'1002'!$F$12</definedName>
    <definedName function="false" hidden="false" localSheetId="1" name="DATO13" vbProcedure="false">'1002'!$C$13</definedName>
    <definedName function="false" hidden="false" localSheetId="1" name="DATO14" vbProcedure="false">'1002'!$F$13</definedName>
    <definedName function="false" hidden="false" localSheetId="1" name="DATO15" vbProcedure="false">'1002'!$C$14</definedName>
    <definedName function="false" hidden="false" localSheetId="1" name="DATO16" vbProcedure="false">'1002'!$F$14</definedName>
    <definedName function="false" hidden="false" localSheetId="1" name="DATO17" vbProcedure="false">'1002'!$C$15</definedName>
    <definedName function="false" hidden="false" localSheetId="1" name="DATO18" vbProcedure="false">'1002'!$F$15</definedName>
    <definedName function="false" hidden="false" localSheetId="1" name="DATO19" vbProcedure="false">'1002'!$C$16</definedName>
    <definedName function="false" hidden="false" localSheetId="1" name="DATO2" vbProcedure="false">'1002'!$D$4</definedName>
    <definedName function="false" hidden="false" localSheetId="1" name="DATO20" vbProcedure="false">'1002'!$F$16</definedName>
    <definedName function="false" hidden="false" localSheetId="1" name="DATO21" vbProcedure="false">'1002'!$C$17</definedName>
    <definedName function="false" hidden="false" localSheetId="1" name="DATO22" vbProcedure="false">'1002'!$F$17</definedName>
    <definedName function="false" hidden="false" localSheetId="1" name="DATO23" vbProcedure="false">'1002'!$C$18</definedName>
    <definedName function="false" hidden="false" localSheetId="1" name="DATO24" vbProcedure="false">'1002'!$F$18</definedName>
    <definedName function="false" hidden="false" localSheetId="1" name="DATO25" vbProcedure="false">'1002'!$C$19</definedName>
    <definedName function="false" hidden="false" localSheetId="1" name="DATO26" vbProcedure="false">'1002'!$F$19</definedName>
    <definedName function="false" hidden="false" localSheetId="1" name="DATO27" vbProcedure="false">'1002'!$C$20</definedName>
    <definedName function="false" hidden="false" localSheetId="1" name="DATO28" vbProcedure="false">'1002'!$C$22</definedName>
    <definedName function="false" hidden="false" localSheetId="1" name="DATO29" vbProcedure="false">'1002'!$F$22</definedName>
    <definedName function="false" hidden="false" localSheetId="1" name="DATO3" vbProcedure="false">'1002'!$D$5</definedName>
    <definedName function="false" hidden="false" localSheetId="1" name="DATO30" vbProcedure="false">'1002'!$C$23</definedName>
    <definedName function="false" hidden="false" localSheetId="1" name="DATO31" vbProcedure="false">'1002'!$F$23</definedName>
    <definedName function="false" hidden="false" localSheetId="1" name="DATO32" vbProcedure="false">'1002'!$C$24</definedName>
    <definedName function="false" hidden="false" localSheetId="1" name="DATO33" vbProcedure="false">'1002'!$F$24</definedName>
    <definedName function="false" hidden="false" localSheetId="1" name="DATO34" vbProcedure="false">'1002'!$C$25</definedName>
    <definedName function="false" hidden="false" localSheetId="1" name="DATO35" vbProcedure="false">'1002'!$F$25</definedName>
    <definedName function="false" hidden="false" localSheetId="1" name="DATO36" vbProcedure="false">'1002'!$C$26</definedName>
    <definedName function="false" hidden="false" localSheetId="1" name="DATO37" vbProcedure="false">'1002'!$F$26</definedName>
    <definedName function="false" hidden="false" localSheetId="1" name="DATO38" vbProcedure="false">'1002'!$C$27</definedName>
    <definedName function="false" hidden="false" localSheetId="1" name="DATO39" vbProcedure="false">'1002'!$F$27</definedName>
    <definedName function="false" hidden="false" localSheetId="1" name="DATO4" vbProcedure="false">'1002'!$D$6</definedName>
    <definedName function="false" hidden="false" localSheetId="1" name="DATO40" vbProcedure="false">'1002'!$C$28</definedName>
    <definedName function="false" hidden="false" localSheetId="1" name="DATO41" vbProcedure="false">'1002'!$F$28</definedName>
    <definedName function="false" hidden="false" localSheetId="1" name="DATO42" vbProcedure="false">'1002'!$C$29</definedName>
    <definedName function="false" hidden="false" localSheetId="1" name="DATO43" vbProcedure="false">'1002'!$F$29</definedName>
    <definedName function="false" hidden="false" localSheetId="1" name="DATO44" vbProcedure="false">'1002'!$C$30</definedName>
    <definedName function="false" hidden="false" localSheetId="1" name="DATO45" vbProcedure="false">'1002'!$F$30</definedName>
    <definedName function="false" hidden="false" localSheetId="1" name="DATO46" vbProcedure="false">'1002'!$C$31</definedName>
    <definedName function="false" hidden="false" localSheetId="1" name="DATO47" vbProcedure="false">'1002'!$C$33</definedName>
    <definedName function="false" hidden="false" localSheetId="1" name="DATO48" vbProcedure="false">'1002'!$C$34</definedName>
    <definedName function="false" hidden="false" localSheetId="1" name="DATO49" vbProcedure="false">'1002'!$C$35</definedName>
    <definedName function="false" hidden="false" localSheetId="1" name="DATO5" vbProcedure="false">'1002'!$D$7</definedName>
    <definedName function="false" hidden="false" localSheetId="1" name="DATO50" vbProcedure="false">'1002'!$F$35</definedName>
    <definedName function="false" hidden="false" localSheetId="1" name="DATO51" vbProcedure="false">'1002'!$C$36</definedName>
    <definedName function="false" hidden="false" localSheetId="1" name="DATO52" vbProcedure="false">'1002'!$F$36</definedName>
    <definedName function="false" hidden="false" localSheetId="1" name="DATO53" vbProcedure="false">'1002'!$C$37</definedName>
    <definedName function="false" hidden="false" localSheetId="1" name="DATO54" vbProcedure="false">'1002'!$C$38</definedName>
    <definedName function="false" hidden="false" localSheetId="1" name="DATO55" vbProcedure="false">'1002'!$C$39</definedName>
    <definedName function="false" hidden="false" localSheetId="1" name="DATO56" vbProcedure="false">'1002'!$F$39</definedName>
    <definedName function="false" hidden="false" localSheetId="1" name="DATO57" vbProcedure="false">'1002'!$C$40</definedName>
    <definedName function="false" hidden="false" localSheetId="1" name="DATO58" vbProcedure="false">'1002'!$F$40</definedName>
    <definedName function="false" hidden="false" localSheetId="1" name="DATO59" vbProcedure="false">'1002'!$C$41</definedName>
    <definedName function="false" hidden="false" localSheetId="1" name="DATO6" vbProcedure="false">'1002'!$D$8</definedName>
    <definedName function="false" hidden="false" localSheetId="1" name="DATO60" vbProcedure="false">'1002'!$F$41</definedName>
    <definedName function="false" hidden="false" localSheetId="1" name="DATO61" vbProcedure="false">'1002'!$C$42</definedName>
    <definedName function="false" hidden="false" localSheetId="1" name="DATO62" vbProcedure="false">'1002'!$F$42</definedName>
    <definedName function="false" hidden="false" localSheetId="1" name="DATO63" vbProcedure="false">'1002'!$C$44</definedName>
    <definedName function="false" hidden="false" localSheetId="1" name="DATO64" vbProcedure="false">'1002'!$F$44</definedName>
    <definedName function="false" hidden="false" localSheetId="1" name="DATO65" vbProcedure="false">'1002'!$C$45</definedName>
    <definedName function="false" hidden="false" localSheetId="1" name="DATO66" vbProcedure="false">'1002'!$F$45</definedName>
    <definedName function="false" hidden="false" localSheetId="1" name="DATO67" vbProcedure="false">'1002'!$C$46</definedName>
    <definedName function="false" hidden="false" localSheetId="1" name="DATO68" vbProcedure="false">'1002'!$F$46</definedName>
    <definedName function="false" hidden="false" localSheetId="1" name="DATO69" vbProcedure="false">'1002'!$C$47</definedName>
    <definedName function="false" hidden="false" localSheetId="1" name="DATO7" vbProcedure="false">'1002'!$C$10</definedName>
    <definedName function="false" hidden="false" localSheetId="1" name="DATO70" vbProcedure="false">'1002'!$F$47</definedName>
    <definedName function="false" hidden="false" localSheetId="1" name="DATO71" vbProcedure="false">'1002'!$C$48</definedName>
    <definedName function="false" hidden="false" localSheetId="1" name="DATO72" vbProcedure="false">'1002'!$F$48</definedName>
    <definedName function="false" hidden="false" localSheetId="1" name="DATO73" vbProcedure="false">'1002'!$C$50</definedName>
    <definedName function="false" hidden="false" localSheetId="1" name="DATO74" vbProcedure="false">'1002'!$F$50</definedName>
    <definedName function="false" hidden="false" localSheetId="1" name="DATO75" vbProcedure="false">'1002'!$C$51</definedName>
    <definedName function="false" hidden="false" localSheetId="1" name="DATO76" vbProcedure="false">'1002'!$F$51</definedName>
    <definedName function="false" hidden="false" localSheetId="1" name="DATO77" vbProcedure="false">'1002'!$C$52</definedName>
    <definedName function="false" hidden="false" localSheetId="1" name="DATO78" vbProcedure="false">'1002'!$F$52</definedName>
    <definedName function="false" hidden="false" localSheetId="1" name="DATO79" vbProcedure="false">'1002'!$C$53</definedName>
    <definedName function="false" hidden="false" localSheetId="1" name="DATO8" vbProcedure="false">'1002'!$F$10</definedName>
    <definedName function="false" hidden="false" localSheetId="1" name="DATO80" vbProcedure="false">'1002'!$F$53</definedName>
    <definedName function="false" hidden="false" localSheetId="1" name="DATO81" vbProcedure="false">'1002'!$C$54</definedName>
    <definedName function="false" hidden="false" localSheetId="1" name="DATO82" vbProcedure="false">'1002'!$C$56</definedName>
    <definedName function="false" hidden="false" localSheetId="1" name="DATO83" vbProcedure="false">'1002'!$F$56</definedName>
    <definedName function="false" hidden="false" localSheetId="1" name="DATO84" vbProcedure="false">'1002'!$C$57</definedName>
    <definedName function="false" hidden="false" localSheetId="1" name="DATO85" vbProcedure="false">'1002'!$F$57</definedName>
    <definedName function="false" hidden="false" localSheetId="1" name="DATO86" vbProcedure="false">'1002'!$C$59</definedName>
    <definedName function="false" hidden="false" localSheetId="1" name="DATO87" vbProcedure="false">'1002'!$C$60</definedName>
    <definedName function="false" hidden="false" localSheetId="1" name="DATO88" vbProcedure="false">'1002'!$F$60</definedName>
    <definedName function="false" hidden="false" localSheetId="1" name="DATO89" vbProcedure="false">'1002'!$C$61</definedName>
    <definedName function="false" hidden="false" localSheetId="1" name="DATO9" vbProcedure="false">'1002'!$C$11</definedName>
    <definedName function="false" hidden="false" localSheetId="1" name="DATO90" vbProcedure="false">'1002'!$F$61</definedName>
    <definedName function="false" hidden="false" localSheetId="1" name="DATO91" vbProcedure="false">'1002'!$C$62</definedName>
    <definedName function="false" hidden="false" localSheetId="1" name="DATO92" vbProcedure="false">'1002'!$F$62</definedName>
    <definedName function="false" hidden="false" localSheetId="1" name="DATO93" vbProcedure="false">'1002'!$C$63</definedName>
    <definedName function="false" hidden="false" localSheetId="1" name="DATO94" vbProcedure="false">'1002'!$F$63</definedName>
    <definedName function="false" hidden="false" localSheetId="1" name="DATO95" vbProcedure="false">'1002'!$C$64</definedName>
    <definedName function="false" hidden="false" localSheetId="1" name="DATO96" vbProcedure="false">'1002'!$F$64</definedName>
    <definedName function="false" hidden="false" localSheetId="1" name="DATO97" vbProcedure="false">'1002'!$C$65</definedName>
    <definedName function="false" hidden="false" localSheetId="2" name="DATO1" vbProcedure="false">'1003'!$C$2</definedName>
    <definedName function="false" hidden="false" localSheetId="2" name="DATO10" vbProcedure="false">'1003'!$F$11</definedName>
    <definedName function="false" hidden="false" localSheetId="2" name="DATO106" vbProcedure="false">'1003'!$C$75</definedName>
    <definedName function="false" hidden="false" localSheetId="2" name="DATO11" vbProcedure="false">'1003'!$C$12</definedName>
    <definedName function="false" hidden="false" localSheetId="2" name="DATO12" vbProcedure="false">'1003'!$F$12</definedName>
    <definedName function="false" hidden="false" localSheetId="2" name="DATO13" vbProcedure="false">'1003'!$C$13</definedName>
    <definedName function="false" hidden="false" localSheetId="2" name="DATO14" vbProcedure="false">'1003'!$F$13</definedName>
    <definedName function="false" hidden="false" localSheetId="2" name="DATO15" vbProcedure="false">'1003'!$C$14</definedName>
    <definedName function="false" hidden="false" localSheetId="2" name="DATO16" vbProcedure="false">'1003'!$F$14</definedName>
    <definedName function="false" hidden="false" localSheetId="2" name="DATO17" vbProcedure="false">'1003'!$C$15</definedName>
    <definedName function="false" hidden="false" localSheetId="2" name="DATO18" vbProcedure="false">'1003'!$F$15</definedName>
    <definedName function="false" hidden="false" localSheetId="2" name="DATO19" vbProcedure="false">'1003'!$C$16</definedName>
    <definedName function="false" hidden="false" localSheetId="2" name="DATO2" vbProcedure="false">'1003'!$D$4</definedName>
    <definedName function="false" hidden="false" localSheetId="2" name="DATO20" vbProcedure="false">'1003'!$F$16</definedName>
    <definedName function="false" hidden="false" localSheetId="2" name="DATO21" vbProcedure="false">'1003'!$C$17</definedName>
    <definedName function="false" hidden="false" localSheetId="2" name="DATO22" vbProcedure="false">'1003'!$F$17</definedName>
    <definedName function="false" hidden="false" localSheetId="2" name="DATO23" vbProcedure="false">'1003'!$C$18</definedName>
    <definedName function="false" hidden="false" localSheetId="2" name="DATO24" vbProcedure="false">'1003'!$F$18</definedName>
    <definedName function="false" hidden="false" localSheetId="2" name="DATO25" vbProcedure="false">'1003'!$C$19</definedName>
    <definedName function="false" hidden="false" localSheetId="2" name="DATO26" vbProcedure="false">'1003'!$F$19</definedName>
    <definedName function="false" hidden="false" localSheetId="2" name="DATO27" vbProcedure="false">'1003'!$C$20</definedName>
    <definedName function="false" hidden="false" localSheetId="2" name="DATO28" vbProcedure="false">'1003'!$C$22</definedName>
    <definedName function="false" hidden="false" localSheetId="2" name="DATO29" vbProcedure="false">'1003'!$F$22</definedName>
    <definedName function="false" hidden="false" localSheetId="2" name="DATO3" vbProcedure="false">'1003'!$D$5</definedName>
    <definedName function="false" hidden="false" localSheetId="2" name="DATO30" vbProcedure="false">'1003'!$C$23</definedName>
    <definedName function="false" hidden="false" localSheetId="2" name="DATO31" vbProcedure="false">'1003'!$F$23</definedName>
    <definedName function="false" hidden="false" localSheetId="2" name="DATO32" vbProcedure="false">'1003'!$C$24</definedName>
    <definedName function="false" hidden="false" localSheetId="2" name="DATO33" vbProcedure="false">'1003'!$F$24</definedName>
    <definedName function="false" hidden="false" localSheetId="2" name="DATO34" vbProcedure="false">'1003'!$C$25</definedName>
    <definedName function="false" hidden="false" localSheetId="2" name="DATO35" vbProcedure="false">'1003'!$F$25</definedName>
    <definedName function="false" hidden="false" localSheetId="2" name="DATO36" vbProcedure="false">'1003'!$C$26</definedName>
    <definedName function="false" hidden="false" localSheetId="2" name="DATO37" vbProcedure="false">'1003'!$F$26</definedName>
    <definedName function="false" hidden="false" localSheetId="2" name="DATO38" vbProcedure="false">'1003'!$C$27</definedName>
    <definedName function="false" hidden="false" localSheetId="2" name="DATO39" vbProcedure="false">'1003'!$F$27</definedName>
    <definedName function="false" hidden="false" localSheetId="2" name="DATO4" vbProcedure="false">'1003'!$D$6</definedName>
    <definedName function="false" hidden="false" localSheetId="2" name="DATO40" vbProcedure="false">'1003'!$C$28</definedName>
    <definedName function="false" hidden="false" localSheetId="2" name="DATO41" vbProcedure="false">'1003'!$F$28</definedName>
    <definedName function="false" hidden="false" localSheetId="2" name="DATO42" vbProcedure="false">'1003'!$C$29</definedName>
    <definedName function="false" hidden="false" localSheetId="2" name="DATO43" vbProcedure="false">'1003'!$F$29</definedName>
    <definedName function="false" hidden="false" localSheetId="2" name="DATO44" vbProcedure="false">'1003'!$C$30</definedName>
    <definedName function="false" hidden="false" localSheetId="2" name="DATO45" vbProcedure="false">'1003'!$F$30</definedName>
    <definedName function="false" hidden="false" localSheetId="2" name="DATO46" vbProcedure="false">'1003'!$C$31</definedName>
    <definedName function="false" hidden="false" localSheetId="2" name="DATO47" vbProcedure="false">'1003'!$C$33</definedName>
    <definedName function="false" hidden="false" localSheetId="2" name="DATO48" vbProcedure="false">'1003'!$C$34</definedName>
    <definedName function="false" hidden="false" localSheetId="2" name="DATO49" vbProcedure="false">'1003'!$C$35</definedName>
    <definedName function="false" hidden="false" localSheetId="2" name="DATO5" vbProcedure="false">'1003'!$D$7</definedName>
    <definedName function="false" hidden="false" localSheetId="2" name="DATO50" vbProcedure="false">'1003'!$F$35</definedName>
    <definedName function="false" hidden="false" localSheetId="2" name="DATO51" vbProcedure="false">'1003'!$C$36</definedName>
    <definedName function="false" hidden="false" localSheetId="2" name="DATO52" vbProcedure="false">'1003'!$F$36</definedName>
    <definedName function="false" hidden="false" localSheetId="2" name="DATO53" vbProcedure="false">'1003'!$C$37</definedName>
    <definedName function="false" hidden="false" localSheetId="2" name="DATO54" vbProcedure="false">'1003'!$C$38</definedName>
    <definedName function="false" hidden="false" localSheetId="2" name="DATO55" vbProcedure="false">'1003'!$C$39</definedName>
    <definedName function="false" hidden="false" localSheetId="2" name="DATO56" vbProcedure="false">'1003'!$F$39</definedName>
    <definedName function="false" hidden="false" localSheetId="2" name="DATO57" vbProcedure="false">'1003'!$C$40</definedName>
    <definedName function="false" hidden="false" localSheetId="2" name="DATO58" vbProcedure="false">'1003'!$F$40</definedName>
    <definedName function="false" hidden="false" localSheetId="2" name="DATO59" vbProcedure="false">'1003'!$C$41</definedName>
    <definedName function="false" hidden="false" localSheetId="2" name="DATO6" vbProcedure="false">'1003'!$D$8</definedName>
    <definedName function="false" hidden="false" localSheetId="2" name="DATO60" vbProcedure="false">'1003'!$F$41</definedName>
    <definedName function="false" hidden="false" localSheetId="2" name="DATO61" vbProcedure="false">'1003'!$C$42</definedName>
    <definedName function="false" hidden="false" localSheetId="2" name="DATO62" vbProcedure="false">'1003'!$F$42</definedName>
    <definedName function="false" hidden="false" localSheetId="2" name="DATO63" vbProcedure="false">'1003'!$C$44</definedName>
    <definedName function="false" hidden="false" localSheetId="2" name="DATO64" vbProcedure="false">'1003'!$F$44</definedName>
    <definedName function="false" hidden="false" localSheetId="2" name="DATO65" vbProcedure="false">'1003'!$C$45</definedName>
    <definedName function="false" hidden="false" localSheetId="2" name="DATO66" vbProcedure="false">'1003'!$F$45</definedName>
    <definedName function="false" hidden="false" localSheetId="2" name="DATO67" vbProcedure="false">'1003'!$C$46</definedName>
    <definedName function="false" hidden="false" localSheetId="2" name="DATO68" vbProcedure="false">'1003'!$F$46</definedName>
    <definedName function="false" hidden="false" localSheetId="2" name="DATO69" vbProcedure="false">'1003'!$C$47</definedName>
    <definedName function="false" hidden="false" localSheetId="2" name="DATO7" vbProcedure="false">'1003'!$C$10</definedName>
    <definedName function="false" hidden="false" localSheetId="2" name="DATO70" vbProcedure="false">'1003'!$F$47</definedName>
    <definedName function="false" hidden="false" localSheetId="2" name="DATO71" vbProcedure="false">'1003'!$C$48</definedName>
    <definedName function="false" hidden="false" localSheetId="2" name="DATO72" vbProcedure="false">'1003'!$F$48</definedName>
    <definedName function="false" hidden="false" localSheetId="2" name="DATO73" vbProcedure="false">'1003'!$C$50</definedName>
    <definedName function="false" hidden="false" localSheetId="2" name="DATO74" vbProcedure="false">'1003'!$F$50</definedName>
    <definedName function="false" hidden="false" localSheetId="2" name="DATO75" vbProcedure="false">'1003'!$C$51</definedName>
    <definedName function="false" hidden="false" localSheetId="2" name="DATO76" vbProcedure="false">'1003'!$F$51</definedName>
    <definedName function="false" hidden="false" localSheetId="2" name="DATO77" vbProcedure="false">'1003'!$C$52</definedName>
    <definedName function="false" hidden="false" localSheetId="2" name="DATO78" vbProcedure="false">'1003'!$F$52</definedName>
    <definedName function="false" hidden="false" localSheetId="2" name="DATO79" vbProcedure="false">'1003'!$C$53</definedName>
    <definedName function="false" hidden="false" localSheetId="2" name="DATO8" vbProcedure="false">'1003'!$F$10</definedName>
    <definedName function="false" hidden="false" localSheetId="2" name="DATO80" vbProcedure="false">'1003'!$F$53</definedName>
    <definedName function="false" hidden="false" localSheetId="2" name="DATO81" vbProcedure="false">'1003'!$C$54</definedName>
    <definedName function="false" hidden="false" localSheetId="2" name="DATO82" vbProcedure="false">'1003'!$C$56</definedName>
    <definedName function="false" hidden="false" localSheetId="2" name="DATO83" vbProcedure="false">'1003'!$F$56</definedName>
    <definedName function="false" hidden="false" localSheetId="2" name="DATO84" vbProcedure="false">'1003'!$C$57</definedName>
    <definedName function="false" hidden="false" localSheetId="2" name="DATO85" vbProcedure="false">'1003'!$F$57</definedName>
    <definedName function="false" hidden="false" localSheetId="2" name="DATO86" vbProcedure="false">'1003'!$C$59</definedName>
    <definedName function="false" hidden="false" localSheetId="2" name="DATO87" vbProcedure="false">'1003'!$C$60</definedName>
    <definedName function="false" hidden="false" localSheetId="2" name="DATO88" vbProcedure="false">'1003'!$F$60</definedName>
    <definedName function="false" hidden="false" localSheetId="2" name="DATO89" vbProcedure="false">'1003'!$C$61</definedName>
    <definedName function="false" hidden="false" localSheetId="2" name="DATO9" vbProcedure="false">'1003'!$C$11</definedName>
    <definedName function="false" hidden="false" localSheetId="2" name="DATO90" vbProcedure="false">'1003'!$F$61</definedName>
    <definedName function="false" hidden="false" localSheetId="2" name="DATO91" vbProcedure="false">'1003'!$C$62</definedName>
    <definedName function="false" hidden="false" localSheetId="2" name="DATO92" vbProcedure="false">'1003'!$F$62</definedName>
    <definedName function="false" hidden="false" localSheetId="2" name="DATO93" vbProcedure="false">'1003'!$C$63</definedName>
    <definedName function="false" hidden="false" localSheetId="2" name="DATO94" vbProcedure="false">'1003'!$F$63</definedName>
    <definedName function="false" hidden="false" localSheetId="2" name="DATO95" vbProcedure="false">'1003'!$C$64</definedName>
    <definedName function="false" hidden="false" localSheetId="2" name="DATO96" vbProcedure="false">'1003'!$F$64</definedName>
    <definedName function="false" hidden="false" localSheetId="2" name="DATO97" vbProcedure="false">'1003'!$C$65</definedName>
    <definedName function="false" hidden="false" localSheetId="3" name="DATO1" vbProcedure="false">'1004'!$C$2</definedName>
    <definedName function="false" hidden="false" localSheetId="3" name="DATO10" vbProcedure="false">'1004'!$F$11</definedName>
    <definedName function="false" hidden="false" localSheetId="3" name="DATO106" vbProcedure="false">'1004'!$C$75</definedName>
    <definedName function="false" hidden="false" localSheetId="3" name="DATO11" vbProcedure="false">'1004'!$C$12</definedName>
    <definedName function="false" hidden="false" localSheetId="3" name="DATO12" vbProcedure="false">'1004'!$F$12</definedName>
    <definedName function="false" hidden="false" localSheetId="3" name="DATO13" vbProcedure="false">'1004'!$C$13</definedName>
    <definedName function="false" hidden="false" localSheetId="3" name="DATO14" vbProcedure="false">'1004'!$F$13</definedName>
    <definedName function="false" hidden="false" localSheetId="3" name="DATO15" vbProcedure="false">'1004'!$C$14</definedName>
    <definedName function="false" hidden="false" localSheetId="3" name="DATO16" vbProcedure="false">'1004'!$F$14</definedName>
    <definedName function="false" hidden="false" localSheetId="3" name="DATO17" vbProcedure="false">'1004'!$C$15</definedName>
    <definedName function="false" hidden="false" localSheetId="3" name="DATO18" vbProcedure="false">'1004'!$F$15</definedName>
    <definedName function="false" hidden="false" localSheetId="3" name="DATO19" vbProcedure="false">'1004'!$C$16</definedName>
    <definedName function="false" hidden="false" localSheetId="3" name="DATO2" vbProcedure="false">'1004'!$D$4</definedName>
    <definedName function="false" hidden="false" localSheetId="3" name="DATO20" vbProcedure="false">'1004'!$F$16</definedName>
    <definedName function="false" hidden="false" localSheetId="3" name="DATO21" vbProcedure="false">'1004'!$C$17</definedName>
    <definedName function="false" hidden="false" localSheetId="3" name="DATO22" vbProcedure="false">'1004'!$F$17</definedName>
    <definedName function="false" hidden="false" localSheetId="3" name="DATO23" vbProcedure="false">'1004'!$C$18</definedName>
    <definedName function="false" hidden="false" localSheetId="3" name="DATO24" vbProcedure="false">'1004'!$F$18</definedName>
    <definedName function="false" hidden="false" localSheetId="3" name="DATO25" vbProcedure="false">'1004'!$C$19</definedName>
    <definedName function="false" hidden="false" localSheetId="3" name="DATO26" vbProcedure="false">'1004'!$F$19</definedName>
    <definedName function="false" hidden="false" localSheetId="3" name="DATO27" vbProcedure="false">'1004'!$C$20</definedName>
    <definedName function="false" hidden="false" localSheetId="3" name="DATO28" vbProcedure="false">'1004'!$C$22</definedName>
    <definedName function="false" hidden="false" localSheetId="3" name="DATO29" vbProcedure="false">'1004'!$F$22</definedName>
    <definedName function="false" hidden="false" localSheetId="3" name="DATO3" vbProcedure="false">'1004'!$D$5</definedName>
    <definedName function="false" hidden="false" localSheetId="3" name="DATO30" vbProcedure="false">'1004'!$C$23</definedName>
    <definedName function="false" hidden="false" localSheetId="3" name="DATO31" vbProcedure="false">'1004'!$F$23</definedName>
    <definedName function="false" hidden="false" localSheetId="3" name="DATO32" vbProcedure="false">'1004'!$C$24</definedName>
    <definedName function="false" hidden="false" localSheetId="3" name="DATO33" vbProcedure="false">'1004'!$F$24</definedName>
    <definedName function="false" hidden="false" localSheetId="3" name="DATO34" vbProcedure="false">'1004'!$C$25</definedName>
    <definedName function="false" hidden="false" localSheetId="3" name="DATO35" vbProcedure="false">'1004'!$F$25</definedName>
    <definedName function="false" hidden="false" localSheetId="3" name="DATO36" vbProcedure="false">'1004'!$C$26</definedName>
    <definedName function="false" hidden="false" localSheetId="3" name="DATO37" vbProcedure="false">'1004'!$F$26</definedName>
    <definedName function="false" hidden="false" localSheetId="3" name="DATO38" vbProcedure="false">'1004'!$C$27</definedName>
    <definedName function="false" hidden="false" localSheetId="3" name="DATO39" vbProcedure="false">'1004'!$F$27</definedName>
    <definedName function="false" hidden="false" localSheetId="3" name="DATO4" vbProcedure="false">'1004'!$D$6</definedName>
    <definedName function="false" hidden="false" localSheetId="3" name="DATO40" vbProcedure="false">'1004'!$C$28</definedName>
    <definedName function="false" hidden="false" localSheetId="3" name="DATO41" vbProcedure="false">'1004'!$F$28</definedName>
    <definedName function="false" hidden="false" localSheetId="3" name="DATO42" vbProcedure="false">'1004'!$C$29</definedName>
    <definedName function="false" hidden="false" localSheetId="3" name="DATO43" vbProcedure="false">'1004'!$F$29</definedName>
    <definedName function="false" hidden="false" localSheetId="3" name="DATO44" vbProcedure="false">'1004'!$C$30</definedName>
    <definedName function="false" hidden="false" localSheetId="3" name="DATO45" vbProcedure="false">'1004'!$F$30</definedName>
    <definedName function="false" hidden="false" localSheetId="3" name="DATO46" vbProcedure="false">'1004'!$C$31</definedName>
    <definedName function="false" hidden="false" localSheetId="3" name="DATO47" vbProcedure="false">'1004'!$C$33</definedName>
    <definedName function="false" hidden="false" localSheetId="3" name="DATO48" vbProcedure="false">'1004'!$C$34</definedName>
    <definedName function="false" hidden="false" localSheetId="3" name="DATO49" vbProcedure="false">'1004'!$C$35</definedName>
    <definedName function="false" hidden="false" localSheetId="3" name="DATO5" vbProcedure="false">'1004'!$D$7</definedName>
    <definedName function="false" hidden="false" localSheetId="3" name="DATO50" vbProcedure="false">'1004'!$F$35</definedName>
    <definedName function="false" hidden="false" localSheetId="3" name="DATO51" vbProcedure="false">'1004'!$C$36</definedName>
    <definedName function="false" hidden="false" localSheetId="3" name="DATO52" vbProcedure="false">'1004'!$F$36</definedName>
    <definedName function="false" hidden="false" localSheetId="3" name="DATO53" vbProcedure="false">'1004'!$C$37</definedName>
    <definedName function="false" hidden="false" localSheetId="3" name="DATO54" vbProcedure="false">'1004'!$C$38</definedName>
    <definedName function="false" hidden="false" localSheetId="3" name="DATO55" vbProcedure="false">'1004'!$C$39</definedName>
    <definedName function="false" hidden="false" localSheetId="3" name="DATO56" vbProcedure="false">'1004'!$F$39</definedName>
    <definedName function="false" hidden="false" localSheetId="3" name="DATO57" vbProcedure="false">'1004'!$C$40</definedName>
    <definedName function="false" hidden="false" localSheetId="3" name="DATO58" vbProcedure="false">'1004'!$F$40</definedName>
    <definedName function="false" hidden="false" localSheetId="3" name="DATO59" vbProcedure="false">'1004'!$C$41</definedName>
    <definedName function="false" hidden="false" localSheetId="3" name="DATO6" vbProcedure="false">'1004'!$D$8</definedName>
    <definedName function="false" hidden="false" localSheetId="3" name="DATO60" vbProcedure="false">'1004'!$F$41</definedName>
    <definedName function="false" hidden="false" localSheetId="3" name="DATO61" vbProcedure="false">'1004'!$C$42</definedName>
    <definedName function="false" hidden="false" localSheetId="3" name="DATO62" vbProcedure="false">'1004'!$F$42</definedName>
    <definedName function="false" hidden="false" localSheetId="3" name="DATO63" vbProcedure="false">'1004'!$C$44</definedName>
    <definedName function="false" hidden="false" localSheetId="3" name="DATO64" vbProcedure="false">'1004'!$F$44</definedName>
    <definedName function="false" hidden="false" localSheetId="3" name="DATO65" vbProcedure="false">'1004'!$C$45</definedName>
    <definedName function="false" hidden="false" localSheetId="3" name="DATO66" vbProcedure="false">'1004'!$F$45</definedName>
    <definedName function="false" hidden="false" localSheetId="3" name="DATO67" vbProcedure="false">'1004'!$C$46</definedName>
    <definedName function="false" hidden="false" localSheetId="3" name="DATO68" vbProcedure="false">'1004'!$F$46</definedName>
    <definedName function="false" hidden="false" localSheetId="3" name="DATO69" vbProcedure="false">'1004'!$C$47</definedName>
    <definedName function="false" hidden="false" localSheetId="3" name="DATO7" vbProcedure="false">'1004'!$C$10</definedName>
    <definedName function="false" hidden="false" localSheetId="3" name="DATO70" vbProcedure="false">'1004'!$F$47</definedName>
    <definedName function="false" hidden="false" localSheetId="3" name="DATO71" vbProcedure="false">'1004'!$C$48</definedName>
    <definedName function="false" hidden="false" localSheetId="3" name="DATO72" vbProcedure="false">'1004'!$F$48</definedName>
    <definedName function="false" hidden="false" localSheetId="3" name="DATO73" vbProcedure="false">'1004'!$C$50</definedName>
    <definedName function="false" hidden="false" localSheetId="3" name="DATO74" vbProcedure="false">'1004'!$F$50</definedName>
    <definedName function="false" hidden="false" localSheetId="3" name="DATO75" vbProcedure="false">'1004'!$C$51</definedName>
    <definedName function="false" hidden="false" localSheetId="3" name="DATO76" vbProcedure="false">'1004'!$F$51</definedName>
    <definedName function="false" hidden="false" localSheetId="3" name="DATO77" vbProcedure="false">'1004'!$C$52</definedName>
    <definedName function="false" hidden="false" localSheetId="3" name="DATO78" vbProcedure="false">'1004'!$F$52</definedName>
    <definedName function="false" hidden="false" localSheetId="3" name="DATO79" vbProcedure="false">'1004'!$C$53</definedName>
    <definedName function="false" hidden="false" localSheetId="3" name="DATO8" vbProcedure="false">'1004'!$F$10</definedName>
    <definedName function="false" hidden="false" localSheetId="3" name="DATO80" vbProcedure="false">'1004'!$F$53</definedName>
    <definedName function="false" hidden="false" localSheetId="3" name="DATO81" vbProcedure="false">'1004'!$C$54</definedName>
    <definedName function="false" hidden="false" localSheetId="3" name="DATO82" vbProcedure="false">'1004'!$C$56</definedName>
    <definedName function="false" hidden="false" localSheetId="3" name="DATO83" vbProcedure="false">'1004'!$F$56</definedName>
    <definedName function="false" hidden="false" localSheetId="3" name="DATO84" vbProcedure="false">'1004'!$C$57</definedName>
    <definedName function="false" hidden="false" localSheetId="3" name="DATO85" vbProcedure="false">'1004'!$F$57</definedName>
    <definedName function="false" hidden="false" localSheetId="3" name="DATO86" vbProcedure="false">'1004'!$C$59</definedName>
    <definedName function="false" hidden="false" localSheetId="3" name="DATO87" vbProcedure="false">'1004'!$C$60</definedName>
    <definedName function="false" hidden="false" localSheetId="3" name="DATO88" vbProcedure="false">'1004'!$F$60</definedName>
    <definedName function="false" hidden="false" localSheetId="3" name="DATO89" vbProcedure="false">'1004'!$C$61</definedName>
    <definedName function="false" hidden="false" localSheetId="3" name="DATO9" vbProcedure="false">'1004'!$C$11</definedName>
    <definedName function="false" hidden="false" localSheetId="3" name="DATO90" vbProcedure="false">'1004'!$F$61</definedName>
    <definedName function="false" hidden="false" localSheetId="3" name="DATO91" vbProcedure="false">'1004'!$C$62</definedName>
    <definedName function="false" hidden="false" localSheetId="3" name="DATO92" vbProcedure="false">'1004'!$F$62</definedName>
    <definedName function="false" hidden="false" localSheetId="3" name="DATO93" vbProcedure="false">'1004'!$C$63</definedName>
    <definedName function="false" hidden="false" localSheetId="3" name="DATO94" vbProcedure="false">'1004'!$F$63</definedName>
    <definedName function="false" hidden="false" localSheetId="3" name="DATO95" vbProcedure="false">'1004'!$C$64</definedName>
    <definedName function="false" hidden="false" localSheetId="3" name="DATO96" vbProcedure="false">'1004'!$F$64</definedName>
    <definedName function="false" hidden="false" localSheetId="3" name="DATO97" vbProcedure="false">'1004'!$C$65</definedName>
    <definedName function="false" hidden="false" localSheetId="4" name="DATO1" vbProcedure="false">'1005'!$C$2</definedName>
    <definedName function="false" hidden="false" localSheetId="4" name="DATO10" vbProcedure="false">'1005'!$F$11</definedName>
    <definedName function="false" hidden="false" localSheetId="4" name="DATO106" vbProcedure="false">'1005'!$C$75</definedName>
    <definedName function="false" hidden="false" localSheetId="4" name="DATO11" vbProcedure="false">'1005'!$C$12</definedName>
    <definedName function="false" hidden="false" localSheetId="4" name="DATO12" vbProcedure="false">'1005'!$F$12</definedName>
    <definedName function="false" hidden="false" localSheetId="4" name="DATO13" vbProcedure="false">'1005'!$C$13</definedName>
    <definedName function="false" hidden="false" localSheetId="4" name="DATO14" vbProcedure="false">'1005'!$F$13</definedName>
    <definedName function="false" hidden="false" localSheetId="4" name="DATO15" vbProcedure="false">'1005'!$C$14</definedName>
    <definedName function="false" hidden="false" localSheetId="4" name="DATO16" vbProcedure="false">'1005'!$F$14</definedName>
    <definedName function="false" hidden="false" localSheetId="4" name="DATO17" vbProcedure="false">'1005'!$C$15</definedName>
    <definedName function="false" hidden="false" localSheetId="4" name="DATO18" vbProcedure="false">'1005'!$F$15</definedName>
    <definedName function="false" hidden="false" localSheetId="4" name="DATO19" vbProcedure="false">'1005'!$C$16</definedName>
    <definedName function="false" hidden="false" localSheetId="4" name="DATO2" vbProcedure="false">'1005'!$D$4</definedName>
    <definedName function="false" hidden="false" localSheetId="4" name="DATO20" vbProcedure="false">'1005'!$F$16</definedName>
    <definedName function="false" hidden="false" localSheetId="4" name="DATO21" vbProcedure="false">'1005'!$C$17</definedName>
    <definedName function="false" hidden="false" localSheetId="4" name="DATO22" vbProcedure="false">'1005'!$F$17</definedName>
    <definedName function="false" hidden="false" localSheetId="4" name="DATO23" vbProcedure="false">'1005'!$C$18</definedName>
    <definedName function="false" hidden="false" localSheetId="4" name="DATO24" vbProcedure="false">'1005'!$F$18</definedName>
    <definedName function="false" hidden="false" localSheetId="4" name="DATO25" vbProcedure="false">'1005'!$C$19</definedName>
    <definedName function="false" hidden="false" localSheetId="4" name="DATO26" vbProcedure="false">'1005'!$F$19</definedName>
    <definedName function="false" hidden="false" localSheetId="4" name="DATO27" vbProcedure="false">'1005'!$C$20</definedName>
    <definedName function="false" hidden="false" localSheetId="4" name="DATO28" vbProcedure="false">'1005'!$C$22</definedName>
    <definedName function="false" hidden="false" localSheetId="4" name="DATO29" vbProcedure="false">'1005'!$F$22</definedName>
    <definedName function="false" hidden="false" localSheetId="4" name="DATO3" vbProcedure="false">'1005'!$D$5</definedName>
    <definedName function="false" hidden="false" localSheetId="4" name="DATO30" vbProcedure="false">'1005'!$C$23</definedName>
    <definedName function="false" hidden="false" localSheetId="4" name="DATO31" vbProcedure="false">'1005'!$F$23</definedName>
    <definedName function="false" hidden="false" localSheetId="4" name="DATO32" vbProcedure="false">'1005'!$C$24</definedName>
    <definedName function="false" hidden="false" localSheetId="4" name="DATO33" vbProcedure="false">'1005'!$F$24</definedName>
    <definedName function="false" hidden="false" localSheetId="4" name="DATO34" vbProcedure="false">'1005'!$C$25</definedName>
    <definedName function="false" hidden="false" localSheetId="4" name="DATO35" vbProcedure="false">'1005'!$F$25</definedName>
    <definedName function="false" hidden="false" localSheetId="4" name="DATO36" vbProcedure="false">'1005'!$C$26</definedName>
    <definedName function="false" hidden="false" localSheetId="4" name="DATO37" vbProcedure="false">'1005'!$F$26</definedName>
    <definedName function="false" hidden="false" localSheetId="4" name="DATO38" vbProcedure="false">'1005'!$C$27</definedName>
    <definedName function="false" hidden="false" localSheetId="4" name="DATO39" vbProcedure="false">'1005'!$F$27</definedName>
    <definedName function="false" hidden="false" localSheetId="4" name="DATO4" vbProcedure="false">'1005'!$D$6</definedName>
    <definedName function="false" hidden="false" localSheetId="4" name="DATO40" vbProcedure="false">'1005'!$C$28</definedName>
    <definedName function="false" hidden="false" localSheetId="4" name="DATO41" vbProcedure="false">'1005'!$F$28</definedName>
    <definedName function="false" hidden="false" localSheetId="4" name="DATO42" vbProcedure="false">'1005'!$C$29</definedName>
    <definedName function="false" hidden="false" localSheetId="4" name="DATO43" vbProcedure="false">'1005'!$F$29</definedName>
    <definedName function="false" hidden="false" localSheetId="4" name="DATO44" vbProcedure="false">'1005'!$C$30</definedName>
    <definedName function="false" hidden="false" localSheetId="4" name="DATO45" vbProcedure="false">'1005'!$F$30</definedName>
    <definedName function="false" hidden="false" localSheetId="4" name="DATO46" vbProcedure="false">'1005'!$C$31</definedName>
    <definedName function="false" hidden="false" localSheetId="4" name="DATO47" vbProcedure="false">'1005'!$C$33</definedName>
    <definedName function="false" hidden="false" localSheetId="4" name="DATO48" vbProcedure="false">'1005'!$C$34</definedName>
    <definedName function="false" hidden="false" localSheetId="4" name="DATO49" vbProcedure="false">'1005'!$C$35</definedName>
    <definedName function="false" hidden="false" localSheetId="4" name="DATO5" vbProcedure="false">'1005'!$D$7</definedName>
    <definedName function="false" hidden="false" localSheetId="4" name="DATO50" vbProcedure="false">'1005'!$F$35</definedName>
    <definedName function="false" hidden="false" localSheetId="4" name="DATO51" vbProcedure="false">'1005'!$C$36</definedName>
    <definedName function="false" hidden="false" localSheetId="4" name="DATO52" vbProcedure="false">'1005'!$F$36</definedName>
    <definedName function="false" hidden="false" localSheetId="4" name="DATO53" vbProcedure="false">'1005'!$C$37</definedName>
    <definedName function="false" hidden="false" localSheetId="4" name="DATO54" vbProcedure="false">'1005'!$C$38</definedName>
    <definedName function="false" hidden="false" localSheetId="4" name="DATO55" vbProcedure="false">'1005'!$C$39</definedName>
    <definedName function="false" hidden="false" localSheetId="4" name="DATO56" vbProcedure="false">'1005'!$F$39</definedName>
    <definedName function="false" hidden="false" localSheetId="4" name="DATO57" vbProcedure="false">'1005'!$C$40</definedName>
    <definedName function="false" hidden="false" localSheetId="4" name="DATO58" vbProcedure="false">'1005'!$F$40</definedName>
    <definedName function="false" hidden="false" localSheetId="4" name="DATO59" vbProcedure="false">'1005'!$C$41</definedName>
    <definedName function="false" hidden="false" localSheetId="4" name="DATO6" vbProcedure="false">'1005'!$D$8</definedName>
    <definedName function="false" hidden="false" localSheetId="4" name="DATO60" vbProcedure="false">'1005'!$F$41</definedName>
    <definedName function="false" hidden="false" localSheetId="4" name="DATO61" vbProcedure="false">'1005'!$C$42</definedName>
    <definedName function="false" hidden="false" localSheetId="4" name="DATO62" vbProcedure="false">'1005'!$F$42</definedName>
    <definedName function="false" hidden="false" localSheetId="4" name="DATO63" vbProcedure="false">'1005'!$C$44</definedName>
    <definedName function="false" hidden="false" localSheetId="4" name="DATO64" vbProcedure="false">'1005'!$F$44</definedName>
    <definedName function="false" hidden="false" localSheetId="4" name="DATO65" vbProcedure="false">'1005'!$C$45</definedName>
    <definedName function="false" hidden="false" localSheetId="4" name="DATO66" vbProcedure="false">'1005'!$F$45</definedName>
    <definedName function="false" hidden="false" localSheetId="4" name="DATO67" vbProcedure="false">'1005'!$C$46</definedName>
    <definedName function="false" hidden="false" localSheetId="4" name="DATO68" vbProcedure="false">'1005'!$F$46</definedName>
    <definedName function="false" hidden="false" localSheetId="4" name="DATO69" vbProcedure="false">'1005'!$C$47</definedName>
    <definedName function="false" hidden="false" localSheetId="4" name="DATO7" vbProcedure="false">'1005'!$C$10</definedName>
    <definedName function="false" hidden="false" localSheetId="4" name="DATO70" vbProcedure="false">'1005'!$F$47</definedName>
    <definedName function="false" hidden="false" localSheetId="4" name="DATO71" vbProcedure="false">'1005'!$C$48</definedName>
    <definedName function="false" hidden="false" localSheetId="4" name="DATO72" vbProcedure="false">'1005'!$F$48</definedName>
    <definedName function="false" hidden="false" localSheetId="4" name="DATO73" vbProcedure="false">'1005'!$C$50</definedName>
    <definedName function="false" hidden="false" localSheetId="4" name="DATO74" vbProcedure="false">'1005'!$F$50</definedName>
    <definedName function="false" hidden="false" localSheetId="4" name="DATO75" vbProcedure="false">'1005'!$C$51</definedName>
    <definedName function="false" hidden="false" localSheetId="4" name="DATO76" vbProcedure="false">'1005'!$F$51</definedName>
    <definedName function="false" hidden="false" localSheetId="4" name="DATO77" vbProcedure="false">'1005'!$C$52</definedName>
    <definedName function="false" hidden="false" localSheetId="4" name="DATO78" vbProcedure="false">'1005'!$F$52</definedName>
    <definedName function="false" hidden="false" localSheetId="4" name="DATO79" vbProcedure="false">'1005'!$C$53</definedName>
    <definedName function="false" hidden="false" localSheetId="4" name="DATO8" vbProcedure="false">'1005'!$F$10</definedName>
    <definedName function="false" hidden="false" localSheetId="4" name="DATO80" vbProcedure="false">'1005'!$F$53</definedName>
    <definedName function="false" hidden="false" localSheetId="4" name="DATO81" vbProcedure="false">'1005'!$C$54</definedName>
    <definedName function="false" hidden="false" localSheetId="4" name="DATO82" vbProcedure="false">'1005'!$C$56</definedName>
    <definedName function="false" hidden="false" localSheetId="4" name="DATO83" vbProcedure="false">'1005'!$F$56</definedName>
    <definedName function="false" hidden="false" localSheetId="4" name="DATO84" vbProcedure="false">'1005'!$C$57</definedName>
    <definedName function="false" hidden="false" localSheetId="4" name="DATO85" vbProcedure="false">'1005'!$F$57</definedName>
    <definedName function="false" hidden="false" localSheetId="4" name="DATO86" vbProcedure="false">'1005'!$C$59</definedName>
    <definedName function="false" hidden="false" localSheetId="4" name="DATO87" vbProcedure="false">'1005'!$C$60</definedName>
    <definedName function="false" hidden="false" localSheetId="4" name="DATO88" vbProcedure="false">'1005'!$F$60</definedName>
    <definedName function="false" hidden="false" localSheetId="4" name="DATO89" vbProcedure="false">'1005'!$C$61</definedName>
    <definedName function="false" hidden="false" localSheetId="4" name="DATO9" vbProcedure="false">'1005'!$C$11</definedName>
    <definedName function="false" hidden="false" localSheetId="4" name="DATO90" vbProcedure="false">'1005'!$F$61</definedName>
    <definedName function="false" hidden="false" localSheetId="4" name="DATO91" vbProcedure="false">'1005'!$C$62</definedName>
    <definedName function="false" hidden="false" localSheetId="4" name="DATO92" vbProcedure="false">'1005'!$F$62</definedName>
    <definedName function="false" hidden="false" localSheetId="4" name="DATO93" vbProcedure="false">'1005'!$C$63</definedName>
    <definedName function="false" hidden="false" localSheetId="4" name="DATO94" vbProcedure="false">'1005'!$F$63</definedName>
    <definedName function="false" hidden="false" localSheetId="4" name="DATO95" vbProcedure="false">'1005'!$C$64</definedName>
    <definedName function="false" hidden="false" localSheetId="4" name="DATO96" vbProcedure="false">'1005'!$F$64</definedName>
    <definedName function="false" hidden="false" localSheetId="4" name="DATO97" vbProcedure="false">'1005'!$C$65</definedName>
    <definedName function="false" hidden="false" localSheetId="5" name="DATO1" vbProcedure="false">'1006'!$C$2</definedName>
    <definedName function="false" hidden="false" localSheetId="5" name="DATO10" vbProcedure="false">'1006'!$F$11</definedName>
    <definedName function="false" hidden="false" localSheetId="5" name="DATO106" vbProcedure="false">'1006'!$C$75</definedName>
    <definedName function="false" hidden="false" localSheetId="5" name="DATO11" vbProcedure="false">'1006'!$C$12</definedName>
    <definedName function="false" hidden="false" localSheetId="5" name="DATO12" vbProcedure="false">'1006'!$F$12</definedName>
    <definedName function="false" hidden="false" localSheetId="5" name="DATO13" vbProcedure="false">'1006'!$C$13</definedName>
    <definedName function="false" hidden="false" localSheetId="5" name="DATO14" vbProcedure="false">'1006'!$F$13</definedName>
    <definedName function="false" hidden="false" localSheetId="5" name="DATO15" vbProcedure="false">'1006'!$C$14</definedName>
    <definedName function="false" hidden="false" localSheetId="5" name="DATO16" vbProcedure="false">'1006'!$F$14</definedName>
    <definedName function="false" hidden="false" localSheetId="5" name="DATO17" vbProcedure="false">'1006'!$C$15</definedName>
    <definedName function="false" hidden="false" localSheetId="5" name="DATO18" vbProcedure="false">'1006'!$F$15</definedName>
    <definedName function="false" hidden="false" localSheetId="5" name="DATO19" vbProcedure="false">'1006'!$C$16</definedName>
    <definedName function="false" hidden="false" localSheetId="5" name="DATO2" vbProcedure="false">'1006'!$D$4</definedName>
    <definedName function="false" hidden="false" localSheetId="5" name="DATO20" vbProcedure="false">'1006'!$F$16</definedName>
    <definedName function="false" hidden="false" localSheetId="5" name="DATO21" vbProcedure="false">'1006'!$C$17</definedName>
    <definedName function="false" hidden="false" localSheetId="5" name="DATO22" vbProcedure="false">'1006'!$F$17</definedName>
    <definedName function="false" hidden="false" localSheetId="5" name="DATO23" vbProcedure="false">'1006'!$C$18</definedName>
    <definedName function="false" hidden="false" localSheetId="5" name="DATO24" vbProcedure="false">'1006'!$F$18</definedName>
    <definedName function="false" hidden="false" localSheetId="5" name="DATO25" vbProcedure="false">'1006'!$C$19</definedName>
    <definedName function="false" hidden="false" localSheetId="5" name="DATO26" vbProcedure="false">'1006'!$F$19</definedName>
    <definedName function="false" hidden="false" localSheetId="5" name="DATO27" vbProcedure="false">'1006'!$C$20</definedName>
    <definedName function="false" hidden="false" localSheetId="5" name="DATO28" vbProcedure="false">'1006'!$C$22</definedName>
    <definedName function="false" hidden="false" localSheetId="5" name="DATO29" vbProcedure="false">'1006'!$F$22</definedName>
    <definedName function="false" hidden="false" localSheetId="5" name="DATO3" vbProcedure="false">'1006'!$D$5</definedName>
    <definedName function="false" hidden="false" localSheetId="5" name="DATO30" vbProcedure="false">'1006'!$C$23</definedName>
    <definedName function="false" hidden="false" localSheetId="5" name="DATO31" vbProcedure="false">'1006'!$F$23</definedName>
    <definedName function="false" hidden="false" localSheetId="5" name="DATO32" vbProcedure="false">'1006'!$C$24</definedName>
    <definedName function="false" hidden="false" localSheetId="5" name="DATO33" vbProcedure="false">'1006'!$F$24</definedName>
    <definedName function="false" hidden="false" localSheetId="5" name="DATO34" vbProcedure="false">'1006'!$C$25</definedName>
    <definedName function="false" hidden="false" localSheetId="5" name="DATO35" vbProcedure="false">'1006'!$F$25</definedName>
    <definedName function="false" hidden="false" localSheetId="5" name="DATO36" vbProcedure="false">'1006'!$C$26</definedName>
    <definedName function="false" hidden="false" localSheetId="5" name="DATO37" vbProcedure="false">'1006'!$F$26</definedName>
    <definedName function="false" hidden="false" localSheetId="5" name="DATO38" vbProcedure="false">'1006'!$C$27</definedName>
    <definedName function="false" hidden="false" localSheetId="5" name="DATO39" vbProcedure="false">'1006'!$F$27</definedName>
    <definedName function="false" hidden="false" localSheetId="5" name="DATO4" vbProcedure="false">'1006'!$D$6</definedName>
    <definedName function="false" hidden="false" localSheetId="5" name="DATO40" vbProcedure="false">'1006'!$C$28</definedName>
    <definedName function="false" hidden="false" localSheetId="5" name="DATO41" vbProcedure="false">'1006'!$F$28</definedName>
    <definedName function="false" hidden="false" localSheetId="5" name="DATO42" vbProcedure="false">'1006'!$C$29</definedName>
    <definedName function="false" hidden="false" localSheetId="5" name="DATO43" vbProcedure="false">'1006'!$F$29</definedName>
    <definedName function="false" hidden="false" localSheetId="5" name="DATO44" vbProcedure="false">'1006'!$C$30</definedName>
    <definedName function="false" hidden="false" localSheetId="5" name="DATO45" vbProcedure="false">'1006'!$F$30</definedName>
    <definedName function="false" hidden="false" localSheetId="5" name="DATO46" vbProcedure="false">'1006'!$C$31</definedName>
    <definedName function="false" hidden="false" localSheetId="5" name="DATO47" vbProcedure="false">'1006'!$C$33</definedName>
    <definedName function="false" hidden="false" localSheetId="5" name="DATO48" vbProcedure="false">'1006'!$C$34</definedName>
    <definedName function="false" hidden="false" localSheetId="5" name="DATO49" vbProcedure="false">'1006'!$C$35</definedName>
    <definedName function="false" hidden="false" localSheetId="5" name="DATO5" vbProcedure="false">'1006'!$D$7</definedName>
    <definedName function="false" hidden="false" localSheetId="5" name="DATO50" vbProcedure="false">'1006'!$F$35</definedName>
    <definedName function="false" hidden="false" localSheetId="5" name="DATO51" vbProcedure="false">'1006'!$C$36</definedName>
    <definedName function="false" hidden="false" localSheetId="5" name="DATO52" vbProcedure="false">'1006'!$F$36</definedName>
    <definedName function="false" hidden="false" localSheetId="5" name="DATO53" vbProcedure="false">'1006'!$C$37</definedName>
    <definedName function="false" hidden="false" localSheetId="5" name="DATO54" vbProcedure="false">'1006'!$C$38</definedName>
    <definedName function="false" hidden="false" localSheetId="5" name="DATO55" vbProcedure="false">'1006'!$C$39</definedName>
    <definedName function="false" hidden="false" localSheetId="5" name="DATO56" vbProcedure="false">'1006'!$F$39</definedName>
    <definedName function="false" hidden="false" localSheetId="5" name="DATO57" vbProcedure="false">'1006'!$C$40</definedName>
    <definedName function="false" hidden="false" localSheetId="5" name="DATO58" vbProcedure="false">'1006'!$F$40</definedName>
    <definedName function="false" hidden="false" localSheetId="5" name="DATO59" vbProcedure="false">'1006'!$C$41</definedName>
    <definedName function="false" hidden="false" localSheetId="5" name="DATO6" vbProcedure="false">'1006'!$D$8</definedName>
    <definedName function="false" hidden="false" localSheetId="5" name="DATO60" vbProcedure="false">'1006'!$F$41</definedName>
    <definedName function="false" hidden="false" localSheetId="5" name="DATO61" vbProcedure="false">'1006'!$C$42</definedName>
    <definedName function="false" hidden="false" localSheetId="5" name="DATO62" vbProcedure="false">'1006'!$F$42</definedName>
    <definedName function="false" hidden="false" localSheetId="5" name="DATO63" vbProcedure="false">'1006'!$C$44</definedName>
    <definedName function="false" hidden="false" localSheetId="5" name="DATO64" vbProcedure="false">'1006'!$F$44</definedName>
    <definedName function="false" hidden="false" localSheetId="5" name="DATO65" vbProcedure="false">'1006'!$C$45</definedName>
    <definedName function="false" hidden="false" localSheetId="5" name="DATO66" vbProcedure="false">'1006'!$F$45</definedName>
    <definedName function="false" hidden="false" localSheetId="5" name="DATO67" vbProcedure="false">'1006'!$C$46</definedName>
    <definedName function="false" hidden="false" localSheetId="5" name="DATO68" vbProcedure="false">'1006'!$F$46</definedName>
    <definedName function="false" hidden="false" localSheetId="5" name="DATO69" vbProcedure="false">'1006'!$C$47</definedName>
    <definedName function="false" hidden="false" localSheetId="5" name="DATO7" vbProcedure="false">'1006'!$C$10</definedName>
    <definedName function="false" hidden="false" localSheetId="5" name="DATO70" vbProcedure="false">'1006'!$F$47</definedName>
    <definedName function="false" hidden="false" localSheetId="5" name="DATO71" vbProcedure="false">'1006'!$C$48</definedName>
    <definedName function="false" hidden="false" localSheetId="5" name="DATO72" vbProcedure="false">'1006'!$F$48</definedName>
    <definedName function="false" hidden="false" localSheetId="5" name="DATO73" vbProcedure="false">'1006'!$C$50</definedName>
    <definedName function="false" hidden="false" localSheetId="5" name="DATO74" vbProcedure="false">'1006'!$F$50</definedName>
    <definedName function="false" hidden="false" localSheetId="5" name="DATO75" vbProcedure="false">'1006'!$C$51</definedName>
    <definedName function="false" hidden="false" localSheetId="5" name="DATO76" vbProcedure="false">'1006'!$F$51</definedName>
    <definedName function="false" hidden="false" localSheetId="5" name="DATO77" vbProcedure="false">'1006'!$C$52</definedName>
    <definedName function="false" hidden="false" localSheetId="5" name="DATO78" vbProcedure="false">'1006'!$F$52</definedName>
    <definedName function="false" hidden="false" localSheetId="5" name="DATO79" vbProcedure="false">'1006'!$C$53</definedName>
    <definedName function="false" hidden="false" localSheetId="5" name="DATO8" vbProcedure="false">'1006'!$F$10</definedName>
    <definedName function="false" hidden="false" localSheetId="5" name="DATO80" vbProcedure="false">'1006'!$F$53</definedName>
    <definedName function="false" hidden="false" localSheetId="5" name="DATO81" vbProcedure="false">'1006'!$C$54</definedName>
    <definedName function="false" hidden="false" localSheetId="5" name="DATO82" vbProcedure="false">'1006'!$C$56</definedName>
    <definedName function="false" hidden="false" localSheetId="5" name="DATO83" vbProcedure="false">'1006'!$F$56</definedName>
    <definedName function="false" hidden="false" localSheetId="5" name="DATO84" vbProcedure="false">'1006'!$C$57</definedName>
    <definedName function="false" hidden="false" localSheetId="5" name="DATO85" vbProcedure="false">'1006'!$F$57</definedName>
    <definedName function="false" hidden="false" localSheetId="5" name="DATO86" vbProcedure="false">'1006'!$C$59</definedName>
    <definedName function="false" hidden="false" localSheetId="5" name="DATO87" vbProcedure="false">'1006'!$C$60</definedName>
    <definedName function="false" hidden="false" localSheetId="5" name="DATO88" vbProcedure="false">'1006'!$F$60</definedName>
    <definedName function="false" hidden="false" localSheetId="5" name="DATO89" vbProcedure="false">'1006'!$C$61</definedName>
    <definedName function="false" hidden="false" localSheetId="5" name="DATO9" vbProcedure="false">'1006'!$C$11</definedName>
    <definedName function="false" hidden="false" localSheetId="5" name="DATO90" vbProcedure="false">'1006'!$F$61</definedName>
    <definedName function="false" hidden="false" localSheetId="5" name="DATO91" vbProcedure="false">'1006'!$C$62</definedName>
    <definedName function="false" hidden="false" localSheetId="5" name="DATO92" vbProcedure="false">'1006'!$F$62</definedName>
    <definedName function="false" hidden="false" localSheetId="5" name="DATO93" vbProcedure="false">'1006'!$C$63</definedName>
    <definedName function="false" hidden="false" localSheetId="5" name="DATO94" vbProcedure="false">'1006'!$F$63</definedName>
    <definedName function="false" hidden="false" localSheetId="5" name="DATO95" vbProcedure="false">'1006'!$C$64</definedName>
    <definedName function="false" hidden="false" localSheetId="5" name="DATO96" vbProcedure="false">'1006'!$F$64</definedName>
    <definedName function="false" hidden="false" localSheetId="5" name="DATO97" vbProcedure="false">'1006'!$C$65</definedName>
    <definedName function="false" hidden="false" localSheetId="6" name="DATO1" vbProcedure="false">'1007'!$C$2</definedName>
    <definedName function="false" hidden="false" localSheetId="6" name="DATO10" vbProcedure="false">'1007'!$F$11</definedName>
    <definedName function="false" hidden="false" localSheetId="6" name="DATO106" vbProcedure="false">'1007'!$C$75</definedName>
    <definedName function="false" hidden="false" localSheetId="6" name="DATO11" vbProcedure="false">'1007'!$C$12</definedName>
    <definedName function="false" hidden="false" localSheetId="6" name="DATO12" vbProcedure="false">'1007'!$F$12</definedName>
    <definedName function="false" hidden="false" localSheetId="6" name="DATO13" vbProcedure="false">'1007'!$C$13</definedName>
    <definedName function="false" hidden="false" localSheetId="6" name="DATO14" vbProcedure="false">'1007'!$F$13</definedName>
    <definedName function="false" hidden="false" localSheetId="6" name="DATO15" vbProcedure="false">'1007'!$C$14</definedName>
    <definedName function="false" hidden="false" localSheetId="6" name="DATO16" vbProcedure="false">'1007'!$F$14</definedName>
    <definedName function="false" hidden="false" localSheetId="6" name="DATO17" vbProcedure="false">'1007'!$C$15</definedName>
    <definedName function="false" hidden="false" localSheetId="6" name="DATO18" vbProcedure="false">'1007'!$F$15</definedName>
    <definedName function="false" hidden="false" localSheetId="6" name="DATO19" vbProcedure="false">'1007'!$C$16</definedName>
    <definedName function="false" hidden="false" localSheetId="6" name="DATO2" vbProcedure="false">'1007'!$D$4</definedName>
    <definedName function="false" hidden="false" localSheetId="6" name="DATO20" vbProcedure="false">'1007'!$F$16</definedName>
    <definedName function="false" hidden="false" localSheetId="6" name="DATO21" vbProcedure="false">'1007'!$C$17</definedName>
    <definedName function="false" hidden="false" localSheetId="6" name="DATO22" vbProcedure="false">'1007'!$F$17</definedName>
    <definedName function="false" hidden="false" localSheetId="6" name="DATO23" vbProcedure="false">'1007'!$C$18</definedName>
    <definedName function="false" hidden="false" localSheetId="6" name="DATO24" vbProcedure="false">'1007'!$F$18</definedName>
    <definedName function="false" hidden="false" localSheetId="6" name="DATO25" vbProcedure="false">'1007'!$C$19</definedName>
    <definedName function="false" hidden="false" localSheetId="6" name="DATO26" vbProcedure="false">'1007'!$F$19</definedName>
    <definedName function="false" hidden="false" localSheetId="6" name="DATO27" vbProcedure="false">'1007'!$C$20</definedName>
    <definedName function="false" hidden="false" localSheetId="6" name="DATO28" vbProcedure="false">'1007'!$C$22</definedName>
    <definedName function="false" hidden="false" localSheetId="6" name="DATO29" vbProcedure="false">'1007'!$F$22</definedName>
    <definedName function="false" hidden="false" localSheetId="6" name="DATO3" vbProcedure="false">'1007'!$D$5</definedName>
    <definedName function="false" hidden="false" localSheetId="6" name="DATO30" vbProcedure="false">'1007'!$C$23</definedName>
    <definedName function="false" hidden="false" localSheetId="6" name="DATO31" vbProcedure="false">'1007'!$F$23</definedName>
    <definedName function="false" hidden="false" localSheetId="6" name="DATO32" vbProcedure="false">'1007'!$C$24</definedName>
    <definedName function="false" hidden="false" localSheetId="6" name="DATO33" vbProcedure="false">'1007'!$F$24</definedName>
    <definedName function="false" hidden="false" localSheetId="6" name="DATO34" vbProcedure="false">'1007'!$C$25</definedName>
    <definedName function="false" hidden="false" localSheetId="6" name="DATO35" vbProcedure="false">'1007'!$F$25</definedName>
    <definedName function="false" hidden="false" localSheetId="6" name="DATO36" vbProcedure="false">'1007'!$C$26</definedName>
    <definedName function="false" hidden="false" localSheetId="6" name="DATO37" vbProcedure="false">'1007'!$F$26</definedName>
    <definedName function="false" hidden="false" localSheetId="6" name="DATO38" vbProcedure="false">'1007'!$C$27</definedName>
    <definedName function="false" hidden="false" localSheetId="6" name="DATO39" vbProcedure="false">'1007'!$F$27</definedName>
    <definedName function="false" hidden="false" localSheetId="6" name="DATO4" vbProcedure="false">'1007'!$D$6</definedName>
    <definedName function="false" hidden="false" localSheetId="6" name="DATO40" vbProcedure="false">'1007'!$C$28</definedName>
    <definedName function="false" hidden="false" localSheetId="6" name="DATO41" vbProcedure="false">'1007'!$F$28</definedName>
    <definedName function="false" hidden="false" localSheetId="6" name="DATO42" vbProcedure="false">'1007'!$C$29</definedName>
    <definedName function="false" hidden="false" localSheetId="6" name="DATO43" vbProcedure="false">'1007'!$F$29</definedName>
    <definedName function="false" hidden="false" localSheetId="6" name="DATO44" vbProcedure="false">'1007'!$C$30</definedName>
    <definedName function="false" hidden="false" localSheetId="6" name="DATO45" vbProcedure="false">'1007'!$F$30</definedName>
    <definedName function="false" hidden="false" localSheetId="6" name="DATO46" vbProcedure="false">'1007'!$C$31</definedName>
    <definedName function="false" hidden="false" localSheetId="6" name="DATO47" vbProcedure="false">'1007'!$C$33</definedName>
    <definedName function="false" hidden="false" localSheetId="6" name="DATO48" vbProcedure="false">'1007'!$C$34</definedName>
    <definedName function="false" hidden="false" localSheetId="6" name="DATO49" vbProcedure="false">'1007'!$C$35</definedName>
    <definedName function="false" hidden="false" localSheetId="6" name="DATO5" vbProcedure="false">'1007'!$D$7</definedName>
    <definedName function="false" hidden="false" localSheetId="6" name="DATO50" vbProcedure="false">'1007'!$F$35</definedName>
    <definedName function="false" hidden="false" localSheetId="6" name="DATO51" vbProcedure="false">'1007'!$C$36</definedName>
    <definedName function="false" hidden="false" localSheetId="6" name="DATO52" vbProcedure="false">'1007'!$F$36</definedName>
    <definedName function="false" hidden="false" localSheetId="6" name="DATO53" vbProcedure="false">'1007'!$C$37</definedName>
    <definedName function="false" hidden="false" localSheetId="6" name="DATO54" vbProcedure="false">'1007'!$C$38</definedName>
    <definedName function="false" hidden="false" localSheetId="6" name="DATO55" vbProcedure="false">'1007'!$C$39</definedName>
    <definedName function="false" hidden="false" localSheetId="6" name="DATO56" vbProcedure="false">'1007'!$F$39</definedName>
    <definedName function="false" hidden="false" localSheetId="6" name="DATO57" vbProcedure="false">'1007'!$C$40</definedName>
    <definedName function="false" hidden="false" localSheetId="6" name="DATO58" vbProcedure="false">'1007'!$F$40</definedName>
    <definedName function="false" hidden="false" localSheetId="6" name="DATO59" vbProcedure="false">'1007'!$C$41</definedName>
    <definedName function="false" hidden="false" localSheetId="6" name="DATO6" vbProcedure="false">'1007'!$D$8</definedName>
    <definedName function="false" hidden="false" localSheetId="6" name="DATO60" vbProcedure="false">'1007'!$F$41</definedName>
    <definedName function="false" hidden="false" localSheetId="6" name="DATO61" vbProcedure="false">'1007'!$C$42</definedName>
    <definedName function="false" hidden="false" localSheetId="6" name="DATO62" vbProcedure="false">'1007'!$F$42</definedName>
    <definedName function="false" hidden="false" localSheetId="6" name="DATO63" vbProcedure="false">'1007'!$C$44</definedName>
    <definedName function="false" hidden="false" localSheetId="6" name="DATO64" vbProcedure="false">'1007'!$F$44</definedName>
    <definedName function="false" hidden="false" localSheetId="6" name="DATO65" vbProcedure="false">'1007'!$C$45</definedName>
    <definedName function="false" hidden="false" localSheetId="6" name="DATO66" vbProcedure="false">'1007'!$F$45</definedName>
    <definedName function="false" hidden="false" localSheetId="6" name="DATO67" vbProcedure="false">'1007'!$C$46</definedName>
    <definedName function="false" hidden="false" localSheetId="6" name="DATO68" vbProcedure="false">'1007'!$F$46</definedName>
    <definedName function="false" hidden="false" localSheetId="6" name="DATO69" vbProcedure="false">'1007'!$C$47</definedName>
    <definedName function="false" hidden="false" localSheetId="6" name="DATO7" vbProcedure="false">'1007'!$C$10</definedName>
    <definedName function="false" hidden="false" localSheetId="6" name="DATO70" vbProcedure="false">'1007'!$F$47</definedName>
    <definedName function="false" hidden="false" localSheetId="6" name="DATO71" vbProcedure="false">'1007'!$C$48</definedName>
    <definedName function="false" hidden="false" localSheetId="6" name="DATO72" vbProcedure="false">'1007'!$F$48</definedName>
    <definedName function="false" hidden="false" localSheetId="6" name="DATO73" vbProcedure="false">'1007'!$C$50</definedName>
    <definedName function="false" hidden="false" localSheetId="6" name="DATO74" vbProcedure="false">'1007'!$F$50</definedName>
    <definedName function="false" hidden="false" localSheetId="6" name="DATO75" vbProcedure="false">'1007'!$C$51</definedName>
    <definedName function="false" hidden="false" localSheetId="6" name="DATO76" vbProcedure="false">'1007'!$F$51</definedName>
    <definedName function="false" hidden="false" localSheetId="6" name="DATO77" vbProcedure="false">'1007'!$C$52</definedName>
    <definedName function="false" hidden="false" localSheetId="6" name="DATO78" vbProcedure="false">'1007'!$F$52</definedName>
    <definedName function="false" hidden="false" localSheetId="6" name="DATO79" vbProcedure="false">'1007'!$C$53</definedName>
    <definedName function="false" hidden="false" localSheetId="6" name="DATO8" vbProcedure="false">'1007'!$F$10</definedName>
    <definedName function="false" hidden="false" localSheetId="6" name="DATO80" vbProcedure="false">'1007'!$F$53</definedName>
    <definedName function="false" hidden="false" localSheetId="6" name="DATO81" vbProcedure="false">'1007'!$C$54</definedName>
    <definedName function="false" hidden="false" localSheetId="6" name="DATO82" vbProcedure="false">'1007'!$C$56</definedName>
    <definedName function="false" hidden="false" localSheetId="6" name="DATO83" vbProcedure="false">'1007'!$F$56</definedName>
    <definedName function="false" hidden="false" localSheetId="6" name="DATO84" vbProcedure="false">'1007'!$C$57</definedName>
    <definedName function="false" hidden="false" localSheetId="6" name="DATO85" vbProcedure="false">'1007'!$F$57</definedName>
    <definedName function="false" hidden="false" localSheetId="6" name="DATO86" vbProcedure="false">'1007'!$C$59</definedName>
    <definedName function="false" hidden="false" localSheetId="6" name="DATO87" vbProcedure="false">'1007'!$C$60</definedName>
    <definedName function="false" hidden="false" localSheetId="6" name="DATO88" vbProcedure="false">'1007'!$F$60</definedName>
    <definedName function="false" hidden="false" localSheetId="6" name="DATO89" vbProcedure="false">'1007'!$C$61</definedName>
    <definedName function="false" hidden="false" localSheetId="6" name="DATO9" vbProcedure="false">'1007'!$C$11</definedName>
    <definedName function="false" hidden="false" localSheetId="6" name="DATO90" vbProcedure="false">'1007'!$F$61</definedName>
    <definedName function="false" hidden="false" localSheetId="6" name="DATO91" vbProcedure="false">'1007'!$C$62</definedName>
    <definedName function="false" hidden="false" localSheetId="6" name="DATO92" vbProcedure="false">'1007'!$F$62</definedName>
    <definedName function="false" hidden="false" localSheetId="6" name="DATO93" vbProcedure="false">'1007'!$C$63</definedName>
    <definedName function="false" hidden="false" localSheetId="6" name="DATO94" vbProcedure="false">'1007'!$F$63</definedName>
    <definedName function="false" hidden="false" localSheetId="6" name="DATO95" vbProcedure="false">'1007'!$C$64</definedName>
    <definedName function="false" hidden="false" localSheetId="6" name="DATO96" vbProcedure="false">'1007'!$F$64</definedName>
    <definedName function="false" hidden="false" localSheetId="6" name="DATO97" vbProcedure="false">'1007'!$C$65</definedName>
    <definedName function="false" hidden="false" localSheetId="7" name="DATO1" vbProcedure="false">'1008'!$C$2</definedName>
    <definedName function="false" hidden="false" localSheetId="7" name="DATO10" vbProcedure="false">'1008'!$F$11</definedName>
    <definedName function="false" hidden="false" localSheetId="7" name="DATO106" vbProcedure="false">'1008'!$C$75</definedName>
    <definedName function="false" hidden="false" localSheetId="7" name="DATO11" vbProcedure="false">'1008'!$C$12</definedName>
    <definedName function="false" hidden="false" localSheetId="7" name="DATO12" vbProcedure="false">'1008'!$F$12</definedName>
    <definedName function="false" hidden="false" localSheetId="7" name="DATO13" vbProcedure="false">'1008'!$C$13</definedName>
    <definedName function="false" hidden="false" localSheetId="7" name="DATO14" vbProcedure="false">'1008'!$F$13</definedName>
    <definedName function="false" hidden="false" localSheetId="7" name="DATO15" vbProcedure="false">'1008'!$C$14</definedName>
    <definedName function="false" hidden="false" localSheetId="7" name="DATO16" vbProcedure="false">'1008'!$F$14</definedName>
    <definedName function="false" hidden="false" localSheetId="7" name="DATO17" vbProcedure="false">'1008'!$C$15</definedName>
    <definedName function="false" hidden="false" localSheetId="7" name="DATO18" vbProcedure="false">'1008'!$F$15</definedName>
    <definedName function="false" hidden="false" localSheetId="7" name="DATO19" vbProcedure="false">'1008'!$C$16</definedName>
    <definedName function="false" hidden="false" localSheetId="7" name="DATO2" vbProcedure="false">'1008'!$D$4</definedName>
    <definedName function="false" hidden="false" localSheetId="7" name="DATO20" vbProcedure="false">'1008'!$F$16</definedName>
    <definedName function="false" hidden="false" localSheetId="7" name="DATO21" vbProcedure="false">'1008'!$C$17</definedName>
    <definedName function="false" hidden="false" localSheetId="7" name="DATO22" vbProcedure="false">'1008'!$F$17</definedName>
    <definedName function="false" hidden="false" localSheetId="7" name="DATO23" vbProcedure="false">'1008'!$C$18</definedName>
    <definedName function="false" hidden="false" localSheetId="7" name="DATO24" vbProcedure="false">'1008'!$F$18</definedName>
    <definedName function="false" hidden="false" localSheetId="7" name="DATO25" vbProcedure="false">'1008'!$C$19</definedName>
    <definedName function="false" hidden="false" localSheetId="7" name="DATO26" vbProcedure="false">'1008'!$F$19</definedName>
    <definedName function="false" hidden="false" localSheetId="7" name="DATO27" vbProcedure="false">'1008'!$C$20</definedName>
    <definedName function="false" hidden="false" localSheetId="7" name="DATO28" vbProcedure="false">'1008'!$C$22</definedName>
    <definedName function="false" hidden="false" localSheetId="7" name="DATO29" vbProcedure="false">'1008'!$F$22</definedName>
    <definedName function="false" hidden="false" localSheetId="7" name="DATO3" vbProcedure="false">'1008'!$D$5</definedName>
    <definedName function="false" hidden="false" localSheetId="7" name="DATO30" vbProcedure="false">'1008'!$C$23</definedName>
    <definedName function="false" hidden="false" localSheetId="7" name="DATO31" vbProcedure="false">'1008'!$F$23</definedName>
    <definedName function="false" hidden="false" localSheetId="7" name="DATO32" vbProcedure="false">'1008'!$C$24</definedName>
    <definedName function="false" hidden="false" localSheetId="7" name="DATO33" vbProcedure="false">'1008'!$F$24</definedName>
    <definedName function="false" hidden="false" localSheetId="7" name="DATO34" vbProcedure="false">'1008'!$C$25</definedName>
    <definedName function="false" hidden="false" localSheetId="7" name="DATO35" vbProcedure="false">'1008'!$F$25</definedName>
    <definedName function="false" hidden="false" localSheetId="7" name="DATO36" vbProcedure="false">'1008'!$C$26</definedName>
    <definedName function="false" hidden="false" localSheetId="7" name="DATO37" vbProcedure="false">'1008'!$F$26</definedName>
    <definedName function="false" hidden="false" localSheetId="7" name="DATO38" vbProcedure="false">'1008'!$C$27</definedName>
    <definedName function="false" hidden="false" localSheetId="7" name="DATO39" vbProcedure="false">'1008'!$F$27</definedName>
    <definedName function="false" hidden="false" localSheetId="7" name="DATO4" vbProcedure="false">'1008'!$D$6</definedName>
    <definedName function="false" hidden="false" localSheetId="7" name="DATO40" vbProcedure="false">'1008'!$C$28</definedName>
    <definedName function="false" hidden="false" localSheetId="7" name="DATO41" vbProcedure="false">'1008'!$F$28</definedName>
    <definedName function="false" hidden="false" localSheetId="7" name="DATO42" vbProcedure="false">'1008'!$C$29</definedName>
    <definedName function="false" hidden="false" localSheetId="7" name="DATO43" vbProcedure="false">'1008'!$F$29</definedName>
    <definedName function="false" hidden="false" localSheetId="7" name="DATO44" vbProcedure="false">'1008'!$C$30</definedName>
    <definedName function="false" hidden="false" localSheetId="7" name="DATO45" vbProcedure="false">'1008'!$F$30</definedName>
    <definedName function="false" hidden="false" localSheetId="7" name="DATO46" vbProcedure="false">'1008'!$C$31</definedName>
    <definedName function="false" hidden="false" localSheetId="7" name="DATO47" vbProcedure="false">'1008'!$C$33</definedName>
    <definedName function="false" hidden="false" localSheetId="7" name="DATO48" vbProcedure="false">'1008'!$C$34</definedName>
    <definedName function="false" hidden="false" localSheetId="7" name="DATO49" vbProcedure="false">'1008'!$C$35</definedName>
    <definedName function="false" hidden="false" localSheetId="7" name="DATO5" vbProcedure="false">'1008'!$D$7</definedName>
    <definedName function="false" hidden="false" localSheetId="7" name="DATO50" vbProcedure="false">'1008'!$F$35</definedName>
    <definedName function="false" hidden="false" localSheetId="7" name="DATO51" vbProcedure="false">'1008'!$C$36</definedName>
    <definedName function="false" hidden="false" localSheetId="7" name="DATO52" vbProcedure="false">'1008'!$F$36</definedName>
    <definedName function="false" hidden="false" localSheetId="7" name="DATO53" vbProcedure="false">'1008'!$C$37</definedName>
    <definedName function="false" hidden="false" localSheetId="7" name="DATO54" vbProcedure="false">'1008'!$C$38</definedName>
    <definedName function="false" hidden="false" localSheetId="7" name="DATO55" vbProcedure="false">'1008'!$C$39</definedName>
    <definedName function="false" hidden="false" localSheetId="7" name="DATO56" vbProcedure="false">'1008'!$F$39</definedName>
    <definedName function="false" hidden="false" localSheetId="7" name="DATO57" vbProcedure="false">'1008'!$C$40</definedName>
    <definedName function="false" hidden="false" localSheetId="7" name="DATO58" vbProcedure="false">'1008'!$F$40</definedName>
    <definedName function="false" hidden="false" localSheetId="7" name="DATO59" vbProcedure="false">'1008'!$C$41</definedName>
    <definedName function="false" hidden="false" localSheetId="7" name="DATO6" vbProcedure="false">'1008'!$D$8</definedName>
    <definedName function="false" hidden="false" localSheetId="7" name="DATO60" vbProcedure="false">'1008'!$F$41</definedName>
    <definedName function="false" hidden="false" localSheetId="7" name="DATO61" vbProcedure="false">'1008'!$C$42</definedName>
    <definedName function="false" hidden="false" localSheetId="7" name="DATO62" vbProcedure="false">'1008'!$F$42</definedName>
    <definedName function="false" hidden="false" localSheetId="7" name="DATO63" vbProcedure="false">'1008'!$C$44</definedName>
    <definedName function="false" hidden="false" localSheetId="7" name="DATO64" vbProcedure="false">'1008'!$F$44</definedName>
    <definedName function="false" hidden="false" localSheetId="7" name="DATO65" vbProcedure="false">'1008'!$C$45</definedName>
    <definedName function="false" hidden="false" localSheetId="7" name="DATO66" vbProcedure="false">'1008'!$F$45</definedName>
    <definedName function="false" hidden="false" localSheetId="7" name="DATO67" vbProcedure="false">'1008'!$C$46</definedName>
    <definedName function="false" hidden="false" localSheetId="7" name="DATO68" vbProcedure="false">'1008'!$F$46</definedName>
    <definedName function="false" hidden="false" localSheetId="7" name="DATO69" vbProcedure="false">'1008'!$C$47</definedName>
    <definedName function="false" hidden="false" localSheetId="7" name="DATO7" vbProcedure="false">'1008'!$C$10</definedName>
    <definedName function="false" hidden="false" localSheetId="7" name="DATO70" vbProcedure="false">'1008'!$F$47</definedName>
    <definedName function="false" hidden="false" localSheetId="7" name="DATO71" vbProcedure="false">'1008'!$C$48</definedName>
    <definedName function="false" hidden="false" localSheetId="7" name="DATO72" vbProcedure="false">'1008'!$F$48</definedName>
    <definedName function="false" hidden="false" localSheetId="7" name="DATO73" vbProcedure="false">'1008'!$C$50</definedName>
    <definedName function="false" hidden="false" localSheetId="7" name="DATO74" vbProcedure="false">'1008'!$F$50</definedName>
    <definedName function="false" hidden="false" localSheetId="7" name="DATO75" vbProcedure="false">'1008'!$C$51</definedName>
    <definedName function="false" hidden="false" localSheetId="7" name="DATO76" vbProcedure="false">'1008'!$F$51</definedName>
    <definedName function="false" hidden="false" localSheetId="7" name="DATO77" vbProcedure="false">'1008'!$C$52</definedName>
    <definedName function="false" hidden="false" localSheetId="7" name="DATO78" vbProcedure="false">'1008'!$F$52</definedName>
    <definedName function="false" hidden="false" localSheetId="7" name="DATO79" vbProcedure="false">'1008'!$C$53</definedName>
    <definedName function="false" hidden="false" localSheetId="7" name="DATO8" vbProcedure="false">'1008'!$F$10</definedName>
    <definedName function="false" hidden="false" localSheetId="7" name="DATO80" vbProcedure="false">'1008'!$F$53</definedName>
    <definedName function="false" hidden="false" localSheetId="7" name="DATO81" vbProcedure="false">'1008'!$C$54</definedName>
    <definedName function="false" hidden="false" localSheetId="7" name="DATO82" vbProcedure="false">'1008'!$C$56</definedName>
    <definedName function="false" hidden="false" localSheetId="7" name="DATO83" vbProcedure="false">'1008'!$F$56</definedName>
    <definedName function="false" hidden="false" localSheetId="7" name="DATO84" vbProcedure="false">'1008'!$C$57</definedName>
    <definedName function="false" hidden="false" localSheetId="7" name="DATO85" vbProcedure="false">'1008'!$F$57</definedName>
    <definedName function="false" hidden="false" localSheetId="7" name="DATO86" vbProcedure="false">'1008'!$C$59</definedName>
    <definedName function="false" hidden="false" localSheetId="7" name="DATO87" vbProcedure="false">'1008'!$C$60</definedName>
    <definedName function="false" hidden="false" localSheetId="7" name="DATO88" vbProcedure="false">'1008'!$F$60</definedName>
    <definedName function="false" hidden="false" localSheetId="7" name="DATO89" vbProcedure="false">'1008'!$C$61</definedName>
    <definedName function="false" hidden="false" localSheetId="7" name="DATO9" vbProcedure="false">'1008'!$C$11</definedName>
    <definedName function="false" hidden="false" localSheetId="7" name="DATO90" vbProcedure="false">'1008'!$F$61</definedName>
    <definedName function="false" hidden="false" localSheetId="7" name="DATO91" vbProcedure="false">'1008'!$C$62</definedName>
    <definedName function="false" hidden="false" localSheetId="7" name="DATO92" vbProcedure="false">'1008'!$F$62</definedName>
    <definedName function="false" hidden="false" localSheetId="7" name="DATO93" vbProcedure="false">'1008'!$C$63</definedName>
    <definedName function="false" hidden="false" localSheetId="7" name="DATO94" vbProcedure="false">'1008'!$F$63</definedName>
    <definedName function="false" hidden="false" localSheetId="7" name="DATO95" vbProcedure="false">'1008'!$C$64</definedName>
    <definedName function="false" hidden="false" localSheetId="7" name="DATO96" vbProcedure="false">'1008'!$F$64</definedName>
    <definedName function="false" hidden="false" localSheetId="7" name="DATO97" vbProcedure="false">'1008'!$C$65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H13" authorId="0">
      <text>
        <r>
          <rPr>
            <sz val="11"/>
            <color rgb="FF000000"/>
            <rFont val="Calibri"/>
            <family val="0"/>
          </rPr>
          <t xml:space="preserve">======
ID#AAAAb3F30Xw
Nativo    (2022-07-06 01:18:33)
Milla Imperial
Milla estatuto, o milla terrestre. Normalmente los vehículos que vienen con odómetro en millas utilizan esta medida.</t>
        </r>
      </text>
    </comment>
    <comment ref="H14" authorId="0">
      <text>
        <r>
          <rPr>
            <sz val="11"/>
            <color rgb="FF000000"/>
            <rFont val="Calibri"/>
            <family val="0"/>
          </rPr>
          <t xml:space="preserve">======
ID#AAAAb3F30Xs
Milla náutica    (2022-07-06 01:18:33)
Usado normalmente en embarcaciones.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H13" authorId="0">
      <text>
        <r>
          <rPr>
            <sz val="11"/>
            <color rgb="FF000000"/>
            <rFont val="Calibri"/>
            <family val="0"/>
          </rPr>
          <t xml:space="preserve">======
ID#AAAAb3F30Xw
Nativo    (2022-07-06 01:18:33)
Milla Imperial
Milla estatuto, o milla terrestre. Normalmente los vehículos que vienen con odómetro en millas utilizan esta medida.</t>
        </r>
      </text>
    </comment>
    <comment ref="H14" authorId="0">
      <text>
        <r>
          <rPr>
            <sz val="11"/>
            <color rgb="FF000000"/>
            <rFont val="Calibri"/>
            <family val="0"/>
          </rPr>
          <t xml:space="preserve">======
ID#AAAAb3F30Xs
Milla náutica    (2022-07-06 01:18:33)
Usado normalmente en embarcaciones.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H13" authorId="0">
      <text>
        <r>
          <rPr>
            <sz val="11"/>
            <color rgb="FF000000"/>
            <rFont val="Calibri"/>
            <family val="0"/>
          </rPr>
          <t xml:space="preserve">======
ID#AAAAb3F30Xw
Nativo    (2022-07-06 01:18:33)
Milla Imperial
Milla estatuto, o milla terrestre. Normalmente los vehículos que vienen con odómetro en millas utilizan esta medida.</t>
        </r>
      </text>
    </comment>
    <comment ref="H14" authorId="0">
      <text>
        <r>
          <rPr>
            <sz val="11"/>
            <color rgb="FF000000"/>
            <rFont val="Calibri"/>
            <family val="0"/>
          </rPr>
          <t xml:space="preserve">======
ID#AAAAb3F30Xs
Milla náutica    (2022-07-06 01:18:33)
Usado normalmente en embarcaciones.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H13" authorId="0">
      <text>
        <r>
          <rPr>
            <sz val="11"/>
            <color rgb="FF000000"/>
            <rFont val="Calibri"/>
            <family val="0"/>
          </rPr>
          <t xml:space="preserve">======
ID#AAAAb3F30Xw
Nativo    (2022-07-06 01:18:33)
Milla Imperial
Milla estatuto, o milla terrestre. Normalmente los vehículos que vienen con odómetro en millas utilizan esta medida.</t>
        </r>
      </text>
    </comment>
    <comment ref="H14" authorId="0">
      <text>
        <r>
          <rPr>
            <sz val="11"/>
            <color rgb="FF000000"/>
            <rFont val="Calibri"/>
            <family val="0"/>
          </rPr>
          <t xml:space="preserve">======
ID#AAAAb3F30Xs
Milla náutica    (2022-07-06 01:18:33)
Usado normalmente en embarcaciones.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H13" authorId="0">
      <text>
        <r>
          <rPr>
            <sz val="11"/>
            <color rgb="FF000000"/>
            <rFont val="Calibri"/>
            <family val="0"/>
          </rPr>
          <t xml:space="preserve">======
ID#AAAAb3F30Xw
Nativo    (2022-07-06 01:18:33)
Milla Imperial
Milla estatuto, o milla terrestre. Normalmente los vehículos que vienen con odómetro en millas utilizan esta medida.</t>
        </r>
      </text>
    </comment>
    <comment ref="H14" authorId="0">
      <text>
        <r>
          <rPr>
            <sz val="11"/>
            <color rgb="FF000000"/>
            <rFont val="Calibri"/>
            <family val="0"/>
          </rPr>
          <t xml:space="preserve">======
ID#AAAAb3F30Xs
Milla náutica    (2022-07-06 01:18:33)
Usado normalmente en embarcaciones.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H13" authorId="0">
      <text>
        <r>
          <rPr>
            <sz val="11"/>
            <color rgb="FF000000"/>
            <rFont val="Calibri"/>
            <family val="0"/>
          </rPr>
          <t xml:space="preserve">======
ID#AAAAb3F30Xw
Nativo    (2022-07-06 01:18:33)
Milla Imperial
Milla estatuto, o milla terrestre. Normalmente los vehículos que vienen con odómetro en millas utilizan esta medida.</t>
        </r>
      </text>
    </comment>
    <comment ref="H14" authorId="0">
      <text>
        <r>
          <rPr>
            <sz val="11"/>
            <color rgb="FF000000"/>
            <rFont val="Calibri"/>
            <family val="0"/>
          </rPr>
          <t xml:space="preserve">======
ID#AAAAb3F30Xs
Milla náutica    (2022-07-06 01:18:33)
Usado normalmente en embarcaciones.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H13" authorId="0">
      <text>
        <r>
          <rPr>
            <sz val="11"/>
            <color rgb="FF000000"/>
            <rFont val="Calibri"/>
            <family val="0"/>
          </rPr>
          <t xml:space="preserve">======
ID#AAAAb3F30Xw
Nativo    (2022-07-06 01:18:33)
Milla Imperial
Milla estatuto, o milla terrestre. Normalmente los vehículos que vienen con odómetro en millas utilizan esta medida.</t>
        </r>
      </text>
    </comment>
    <comment ref="H14" authorId="0">
      <text>
        <r>
          <rPr>
            <sz val="11"/>
            <color rgb="FF000000"/>
            <rFont val="Calibri"/>
            <family val="0"/>
          </rPr>
          <t xml:space="preserve">======
ID#AAAAb3F30Xs
Milla náutica    (2022-07-06 01:18:33)
Usado normalmente en embarcaciones.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H13" authorId="0">
      <text>
        <r>
          <rPr>
            <sz val="11"/>
            <color rgb="FF000000"/>
            <rFont val="Calibri"/>
            <family val="0"/>
          </rPr>
          <t xml:space="preserve">======
ID#AAAAb3F30Xw
Nativo    (2022-07-06 01:18:33)
Milla Imperial
Milla estatuto, o milla terrestre. Normalmente los vehículos que vienen con odómetro en millas utilizan esta medida.</t>
        </r>
      </text>
    </comment>
    <comment ref="H14" authorId="0">
      <text>
        <r>
          <rPr>
            <sz val="11"/>
            <color rgb="FF000000"/>
            <rFont val="Calibri"/>
            <family val="0"/>
          </rPr>
          <t xml:space="preserve">======
ID#AAAAb3F30Xs
Milla náutica    (2022-07-06 01:18:33)
Usado normalmente en embarcaciones.</t>
        </r>
      </text>
    </comment>
  </commentList>
</comments>
</file>

<file path=xl/sharedStrings.xml><?xml version="1.0" encoding="utf-8"?>
<sst xmlns="http://schemas.openxmlformats.org/spreadsheetml/2006/main" count="1640" uniqueCount="201">
  <si>
    <t xml:space="preserve">FICHA TÉCNICA DE IMPORTACIÓN DE VEHÍCULOS USADOS Y ESPECIALES</t>
  </si>
  <si>
    <t xml:space="preserve">MESES DEL AÑO</t>
  </si>
  <si>
    <t xml:space="preserve">Número de Ficha</t>
  </si>
  <si>
    <t xml:space="preserve">IDENTIFICADOR</t>
  </si>
  <si>
    <t xml:space="preserve">Tabla V: Combustibles</t>
  </si>
  <si>
    <t xml:space="preserve">Tabla IV: Tipos de Transmisión (Caja)</t>
  </si>
  <si>
    <t xml:space="preserve">Enero</t>
  </si>
  <si>
    <t xml:space="preserve">DATOS DEL IMPORTADOR</t>
  </si>
  <si>
    <t xml:space="preserve">NO CORRESPONDE</t>
  </si>
  <si>
    <t xml:space="preserve">Febrero</t>
  </si>
  <si>
    <t xml:space="preserve">Importador</t>
  </si>
  <si>
    <t xml:space="preserve">GASOLINA</t>
  </si>
  <si>
    <t xml:space="preserve">MECÁNICA</t>
  </si>
  <si>
    <t xml:space="preserve">Marzo</t>
  </si>
  <si>
    <t xml:space="preserve">RUC o DNI del Importador</t>
  </si>
  <si>
    <t xml:space="preserve">DIESEL</t>
  </si>
  <si>
    <t xml:space="preserve">AUTOMÁTICA</t>
  </si>
  <si>
    <t xml:space="preserve">Abril</t>
  </si>
  <si>
    <t xml:space="preserve">Representante Legal del Importador</t>
  </si>
  <si>
    <t xml:space="preserve">Chasis</t>
  </si>
  <si>
    <t xml:space="preserve">BI-COMBUSTIBLE GLP</t>
  </si>
  <si>
    <t xml:space="preserve">SEMI AUTOMÁTICA</t>
  </si>
  <si>
    <t xml:space="preserve">Mayo</t>
  </si>
  <si>
    <t xml:space="preserve">Documento de Identidad del Representante Legal</t>
  </si>
  <si>
    <t xml:space="preserve">Chasis: Dejar en blanco si se usará VIN. Si es un vehículo con número de serie, consignar aquí el número de serie.</t>
  </si>
  <si>
    <t xml:space="preserve">BI-COMBUSTIBLE GNV</t>
  </si>
  <si>
    <t xml:space="preserve">VARIABLE CONTINUA</t>
  </si>
  <si>
    <t xml:space="preserve">Junio</t>
  </si>
  <si>
    <t xml:space="preserve">Ficha o Partida de Inscripción</t>
  </si>
  <si>
    <t xml:space="preserve">BI-COMBUSTIBLE GNL</t>
  </si>
  <si>
    <t xml:space="preserve">HIDROMÁTICA</t>
  </si>
  <si>
    <t xml:space="preserve">Julio</t>
  </si>
  <si>
    <t xml:space="preserve">ESPECIFICACIONES GENERALES</t>
  </si>
  <si>
    <t xml:space="preserve">Kilometraje</t>
  </si>
  <si>
    <t xml:space="preserve">DUAL GLP</t>
  </si>
  <si>
    <t xml:space="preserve">Agosto</t>
  </si>
  <si>
    <t xml:space="preserve">Categoría del Vehículo</t>
  </si>
  <si>
    <t xml:space="preserve">Marca</t>
  </si>
  <si>
    <t xml:space="preserve">Resultado:</t>
  </si>
  <si>
    <t xml:space="preserve">DECIMALES</t>
  </si>
  <si>
    <t xml:space="preserve">DUAL GNV</t>
  </si>
  <si>
    <t xml:space="preserve">Septiembre</t>
  </si>
  <si>
    <t xml:space="preserve">Modelo</t>
  </si>
  <si>
    <t xml:space="preserve">Versión</t>
  </si>
  <si>
    <t xml:space="preserve">NO TOCAR</t>
  </si>
  <si>
    <t xml:space="preserve">DUAL GNL</t>
  </si>
  <si>
    <t xml:space="preserve">Octubre</t>
  </si>
  <si>
    <t xml:space="preserve">VIN</t>
  </si>
  <si>
    <t xml:space="preserve">ABCDE1234WX001001</t>
  </si>
  <si>
    <t xml:space="preserve">Número de Motor</t>
  </si>
  <si>
    <t xml:space="preserve">kilómetros</t>
  </si>
  <si>
    <t xml:space="preserve">GNV</t>
  </si>
  <si>
    <t xml:space="preserve">Noviembre</t>
  </si>
  <si>
    <t xml:space="preserve">Número de Chasis</t>
  </si>
  <si>
    <t xml:space="preserve">Fabricante del Vehículo</t>
  </si>
  <si>
    <t xml:space="preserve">millas (imp.)</t>
  </si>
  <si>
    <t xml:space="preserve">GNL</t>
  </si>
  <si>
    <t xml:space="preserve">Diciembre</t>
  </si>
  <si>
    <t xml:space="preserve">País de Fabricación</t>
  </si>
  <si>
    <t xml:space="preserve">Marca del Motor</t>
  </si>
  <si>
    <t xml:space="preserve">millas (naut.)</t>
  </si>
  <si>
    <t xml:space="preserve">GLP</t>
  </si>
  <si>
    <t xml:space="preserve">Modelo de Motor</t>
  </si>
  <si>
    <t xml:space="preserve">Combustible</t>
  </si>
  <si>
    <t xml:space="preserve">horas</t>
  </si>
  <si>
    <t xml:space="preserve">ETANOL</t>
  </si>
  <si>
    <t xml:space="preserve">Tipo de Carrocería</t>
  </si>
  <si>
    <t xml:space="preserve">Marca y Modelo de la Carrocería</t>
  </si>
  <si>
    <t xml:space="preserve">Horas</t>
  </si>
  <si>
    <t xml:space="preserve">Minutos</t>
  </si>
  <si>
    <t xml:space="preserve">Velocidad</t>
  </si>
  <si>
    <t xml:space="preserve">FLEXFUEL</t>
  </si>
  <si>
    <t xml:space="preserve">Número de Serie de la Carrocería</t>
  </si>
  <si>
    <t xml:space="preserve">Número de Asientos</t>
  </si>
  <si>
    <t xml:space="preserve">BIODIESEL</t>
  </si>
  <si>
    <t xml:space="preserve">Número de Pasajeros</t>
  </si>
  <si>
    <t xml:space="preserve">Número de Puertas</t>
  </si>
  <si>
    <t xml:space="preserve">ACEITE</t>
  </si>
  <si>
    <t xml:space="preserve">Color</t>
  </si>
  <si>
    <t xml:space="preserve">HÍBRIDO (GASOLINA/BATERÍAS)</t>
  </si>
  <si>
    <t xml:space="preserve">Comentarios</t>
  </si>
  <si>
    <t xml:space="preserve">HÍBRIDO (DIESEL/BATERÍAS)</t>
  </si>
  <si>
    <t xml:space="preserve">PESOS Y MEDIDAS</t>
  </si>
  <si>
    <r>
      <rPr>
        <sz val="10"/>
        <color rgb="FFFFFFFF"/>
        <rFont val="Arial"/>
        <family val="0"/>
      </rPr>
      <t xml:space="preserve">RPM </t>
    </r>
    <r>
      <rPr>
        <sz val="10"/>
        <color rgb="FFFFFFFF"/>
        <rFont val="Calibri"/>
        <family val="0"/>
      </rPr>
      <t xml:space="preserve">↓</t>
    </r>
  </si>
  <si>
    <r>
      <rPr>
        <sz val="10"/>
        <color rgb="FFFFFFFF"/>
        <rFont val="Wingdings"/>
        <family val="0"/>
      </rPr>
      <t xml:space="preserve">×</t>
    </r>
    <r>
      <rPr>
        <sz val="10"/>
        <color rgb="FFFFFFFF"/>
        <rFont val="Arial"/>
        <family val="0"/>
      </rPr>
      <t xml:space="preserve">En blanco= no corresp.</t>
    </r>
  </si>
  <si>
    <t xml:space="preserve">HIDRÓGENO</t>
  </si>
  <si>
    <t xml:space="preserve">Largo (m)</t>
  </si>
  <si>
    <t xml:space="preserve">Ancho (m)</t>
  </si>
  <si>
    <t xml:space="preserve">ELÉCTRICO</t>
  </si>
  <si>
    <t xml:space="preserve">Alto (m)</t>
  </si>
  <si>
    <t xml:space="preserve">Distancia entre ejes (m)</t>
  </si>
  <si>
    <r>
      <rPr>
        <sz val="10"/>
        <color rgb="FFFFFFFF"/>
        <rFont val="Arial"/>
        <family val="0"/>
      </rPr>
      <t xml:space="preserve">Potencia </t>
    </r>
    <r>
      <rPr>
        <sz val="10"/>
        <color rgb="FFFFFFFF"/>
        <rFont val="Calibri"/>
        <family val="0"/>
      </rPr>
      <t xml:space="preserve">↓</t>
    </r>
  </si>
  <si>
    <t xml:space="preserve">CELDAS DE COMBUSTIBLE</t>
  </si>
  <si>
    <t xml:space="preserve">Trocha delantera (m)</t>
  </si>
  <si>
    <t xml:space="preserve">Trocha posterior (m)</t>
  </si>
  <si>
    <t xml:space="preserve">SOLAR</t>
  </si>
  <si>
    <t xml:space="preserve">Voladizo delantero (m)</t>
  </si>
  <si>
    <t xml:space="preserve">Voladizo posterior (m)</t>
  </si>
  <si>
    <t xml:space="preserve">kW</t>
  </si>
  <si>
    <t xml:space="preserve">Peso neto (Kg)</t>
  </si>
  <si>
    <t xml:space="preserve">Peso bruto vehicular (Kg)</t>
  </si>
  <si>
    <t xml:space="preserve">hp</t>
  </si>
  <si>
    <t xml:space="preserve">Capacidad de carga (Kg)</t>
  </si>
  <si>
    <t xml:space="preserve">Altura de enganche (m)</t>
  </si>
  <si>
    <t xml:space="preserve">cv</t>
  </si>
  <si>
    <t xml:space="preserve">Capacidad de eje(s) delantero(s) (Kg)</t>
  </si>
  <si>
    <t xml:space="preserve">Capacidad de eje(s) posterior(es) (Kg)</t>
  </si>
  <si>
    <t xml:space="preserve">Relación p/pbruto</t>
  </si>
  <si>
    <t xml:space="preserve">Configuración de eje(s) delantero(s)</t>
  </si>
  <si>
    <t xml:space="preserve">Configuración de eje(s) posterior(es)</t>
  </si>
  <si>
    <t xml:space="preserve">Instrucciones: Ingrese una cantidad al costado de la unidad de medida de potencia. No intente cambiar la sección consignada como NO TOCAR. Rellene Relación p/pbruto con cualquier carácter para que éste figure. Déjelo en blanco para que figure NO CORRESPONDE.</t>
  </si>
  <si>
    <t xml:space="preserve">Fórmula rodante</t>
  </si>
  <si>
    <t xml:space="preserve">Relación potencia / peso bruto combinado</t>
  </si>
  <si>
    <t xml:space="preserve">Capacidad de arrastre(t)</t>
  </si>
  <si>
    <t xml:space="preserve">CHASIS</t>
  </si>
  <si>
    <t xml:space="preserve">Suspensión delantera</t>
  </si>
  <si>
    <t xml:space="preserve">Suspensión posterior</t>
  </si>
  <si>
    <t xml:space="preserve">Neumáticos</t>
  </si>
  <si>
    <t xml:space="preserve">Número de ruedas</t>
  </si>
  <si>
    <t xml:space="preserve">Número de Ejes</t>
  </si>
  <si>
    <t xml:space="preserve">Radio mínimo de giro (m)</t>
  </si>
  <si>
    <t xml:space="preserve">Dirección</t>
  </si>
  <si>
    <t xml:space="preserve">Frenos de servicio</t>
  </si>
  <si>
    <t xml:space="preserve">Frenos delanteros</t>
  </si>
  <si>
    <t xml:space="preserve">Frenos posteriores</t>
  </si>
  <si>
    <t xml:space="preserve">ABS</t>
  </si>
  <si>
    <t xml:space="preserve">Freno auxiliar</t>
  </si>
  <si>
    <t xml:space="preserve">Freno de estacionamiento o emergencia</t>
  </si>
  <si>
    <t xml:space="preserve">Activador de freno de remolque</t>
  </si>
  <si>
    <t xml:space="preserve">Capacidad del tanque de combustible (litros)</t>
  </si>
  <si>
    <t xml:space="preserve">Material de fabricación del tanque de combustible</t>
  </si>
  <si>
    <t xml:space="preserve">Capacidad del tanque (dejar en blanco para no corresponde)</t>
  </si>
  <si>
    <t xml:space="preserve">MOTOR</t>
  </si>
  <si>
    <t xml:space="preserve">Ubicación</t>
  </si>
  <si>
    <t xml:space="preserve">Posición</t>
  </si>
  <si>
    <t xml:space="preserve">Litros</t>
  </si>
  <si>
    <t xml:space="preserve">Número de cilindros</t>
  </si>
  <si>
    <t xml:space="preserve">Configuración</t>
  </si>
  <si>
    <t xml:space="preserve">Gal. USA</t>
  </si>
  <si>
    <t xml:space="preserve">Cilindrada (cc)</t>
  </si>
  <si>
    <t xml:space="preserve">Alimentación</t>
  </si>
  <si>
    <t xml:space="preserve">Gal. Imp.</t>
  </si>
  <si>
    <t xml:space="preserve">Control de carburación</t>
  </si>
  <si>
    <t xml:space="preserve">Potencia máxima (kW)</t>
  </si>
  <si>
    <t xml:space="preserve">Velocidad de ralentí (rpm)</t>
  </si>
  <si>
    <t xml:space="preserve">Velocidad de corte de combustible (rpm)</t>
  </si>
  <si>
    <t xml:space="preserve">Cilindrada</t>
  </si>
  <si>
    <t xml:space="preserve">EMISIONES</t>
  </si>
  <si>
    <t xml:space="preserve">Conversión</t>
  </si>
  <si>
    <t xml:space="preserve">Método de prueba</t>
  </si>
  <si>
    <t xml:space="preserve">Certificación</t>
  </si>
  <si>
    <r>
      <rPr>
        <sz val="10"/>
        <color rgb="FFFFFFFF"/>
        <rFont val="Arial"/>
        <family val="0"/>
      </rPr>
      <t xml:space="preserve">cc (cm</t>
    </r>
    <r>
      <rPr>
        <vertAlign val="superscript"/>
        <sz val="10"/>
        <color rgb="FFFFFFFF"/>
        <rFont val="Arial"/>
        <family val="0"/>
      </rPr>
      <t xml:space="preserve">3</t>
    </r>
    <r>
      <rPr>
        <sz val="10"/>
        <color rgb="FFFFFFFF"/>
        <rFont val="Arial"/>
        <family val="0"/>
      </rPr>
      <t xml:space="preserve">)</t>
    </r>
  </si>
  <si>
    <t xml:space="preserve">HC [ppm]</t>
  </si>
  <si>
    <t xml:space="preserve">CO</t>
  </si>
  <si>
    <t xml:space="preserve">litros</t>
  </si>
  <si>
    <r>
      <rPr>
        <sz val="10"/>
        <color rgb="FF000000"/>
        <rFont val="Arial"/>
        <family val="0"/>
      </rPr>
      <t xml:space="preserve">CO</t>
    </r>
    <r>
      <rPr>
        <vertAlign val="subscript"/>
        <sz val="10"/>
        <color rgb="FF000000"/>
        <rFont val="Arial"/>
        <family val="0"/>
      </rPr>
      <t xml:space="preserve">2</t>
    </r>
  </si>
  <si>
    <r>
      <rPr>
        <sz val="10"/>
        <color rgb="FF000000"/>
        <rFont val="Arial"/>
        <family val="0"/>
      </rPr>
      <t xml:space="preserve">CO + CO</t>
    </r>
    <r>
      <rPr>
        <vertAlign val="subscript"/>
        <sz val="10"/>
        <color rgb="FF000000"/>
        <rFont val="Arial"/>
        <family val="0"/>
      </rPr>
      <t xml:space="preserve">2</t>
    </r>
  </si>
  <si>
    <r>
      <rPr>
        <sz val="10"/>
        <color rgb="FFFFFFFF"/>
        <rFont val="Arial"/>
        <family val="0"/>
      </rPr>
      <t xml:space="preserve">cu-in (inch</t>
    </r>
    <r>
      <rPr>
        <vertAlign val="superscript"/>
        <sz val="10"/>
        <color rgb="FFFFFFFF"/>
        <rFont val="Arial"/>
        <family val="0"/>
      </rPr>
      <t xml:space="preserve">3</t>
    </r>
    <r>
      <rPr>
        <sz val="10"/>
        <color rgb="FFFFFFFF"/>
        <rFont val="Arial"/>
        <family val="0"/>
      </rPr>
      <t xml:space="preserve">)</t>
    </r>
  </si>
  <si>
    <r>
      <rPr>
        <sz val="10"/>
        <color rgb="FF000000"/>
        <rFont val="Arial"/>
        <family val="0"/>
      </rPr>
      <t xml:space="preserve">O</t>
    </r>
    <r>
      <rPr>
        <vertAlign val="subscript"/>
        <sz val="10"/>
        <color rgb="FF000000"/>
        <rFont val="Arial"/>
        <family val="0"/>
      </rPr>
      <t xml:space="preserve">2</t>
    </r>
  </si>
  <si>
    <r>
      <rPr>
        <sz val="10"/>
        <color rgb="FF000000"/>
        <rFont val="Arial"/>
        <family val="0"/>
      </rPr>
      <t xml:space="preserve">Opacidad (Factor K[m</t>
    </r>
    <r>
      <rPr>
        <vertAlign val="superscript"/>
        <sz val="10"/>
        <color rgb="FF000000"/>
        <rFont val="Arial"/>
        <family val="0"/>
      </rPr>
      <t xml:space="preserve">-1</t>
    </r>
    <r>
      <rPr>
        <sz val="10"/>
        <color rgb="FF000000"/>
        <rFont val="Arial"/>
        <family val="0"/>
      </rPr>
      <t xml:space="preserve">])</t>
    </r>
  </si>
  <si>
    <t xml:space="preserve">Sistema de control de emisiones</t>
  </si>
  <si>
    <t xml:space="preserve">TRANSMISIÓN</t>
  </si>
  <si>
    <t xml:space="preserve">Tracción</t>
  </si>
  <si>
    <t xml:space="preserve">Tipo de caja</t>
  </si>
  <si>
    <t xml:space="preserve">N° de veolocidades</t>
  </si>
  <si>
    <t xml:space="preserve">Rooster</t>
  </si>
  <si>
    <t xml:space="preserve">CABINA / CARROCERÍA</t>
  </si>
  <si>
    <t xml:space="preserve">Airbag(s)</t>
  </si>
  <si>
    <t xml:space="preserve">Cinturones de seguridad delanteros</t>
  </si>
  <si>
    <t xml:space="preserve">Cinturones de seguridad posteriores</t>
  </si>
  <si>
    <t xml:space="preserve">Cabezal de seguridad delantero</t>
  </si>
  <si>
    <t xml:space="preserve">Cabezal de seguridad posterior</t>
  </si>
  <si>
    <t xml:space="preserve">Parabrisas delantero</t>
  </si>
  <si>
    <t xml:space="preserve">Lunas laterales</t>
  </si>
  <si>
    <t xml:space="preserve">Luna posterior</t>
  </si>
  <si>
    <t xml:space="preserve">Tacógrafo</t>
  </si>
  <si>
    <t xml:space="preserve">Retrovisores</t>
  </si>
  <si>
    <t xml:space="preserve">Accesos laterales</t>
  </si>
  <si>
    <t xml:space="preserve">Aire acondicionado</t>
  </si>
  <si>
    <t xml:space="preserve">VEHÍCULOS REPARADOS Y/O REACONDICIONADOS Y/O RECONVERTIDOS</t>
  </si>
  <si>
    <t xml:space="preserve">AÑO DE FABRICACIÓN DEL VEHÍCULO</t>
  </si>
  <si>
    <t xml:space="preserve">NO</t>
  </si>
  <si>
    <t xml:space="preserve">Nº REVISA 1</t>
  </si>
  <si>
    <t xml:space="preserve">Entidad Verificadora que emitió el REVISA 1</t>
  </si>
  <si>
    <t xml:space="preserve">Nº CERTIREC</t>
  </si>
  <si>
    <t xml:space="preserve">Taller de reparación y reacondicionamiento</t>
  </si>
  <si>
    <t xml:space="preserve">Condición para su ingreso a CETICOS</t>
  </si>
  <si>
    <t xml:space="preserve">DECLARACIÓN DE VERACIDAD</t>
  </si>
  <si>
    <t xml:space="preserve">Los que suscriben, en nombre propio y/o de su representada, declaran que los datos consignados en la presente Ficha Técnica son verdaderos, firmando en señal de conformidad.</t>
  </si>
  <si>
    <t xml:space="preserve">Nombre y firma del representante legal del importador</t>
  </si>
  <si>
    <t xml:space="preserve">Nombre y firma del ingeniero mecánico acreditado</t>
  </si>
  <si>
    <t xml:space="preserve">Ciudad y fecha de emisión</t>
  </si>
  <si>
    <t xml:space="preserve">Ciudad:</t>
  </si>
  <si>
    <t xml:space="preserve">Fecha:</t>
  </si>
  <si>
    <t xml:space="preserve">ABCDE1234WX001002</t>
  </si>
  <si>
    <t xml:space="preserve">ABCDE1234WX001003</t>
  </si>
  <si>
    <t xml:space="preserve">ABCDE1234WX001004</t>
  </si>
  <si>
    <t xml:space="preserve">ABCDE1234WX001005</t>
  </si>
  <si>
    <t xml:space="preserve">BBCDE1234WX001006</t>
  </si>
  <si>
    <t xml:space="preserve">BBCDE1234WX001007</t>
  </si>
  <si>
    <t xml:space="preserve">CBCDE1234WX001008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</si>
</sst>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VERDADERO&quot;;&quot;VERDADERO&quot;;&quot;FALSO&quot;"/>
    <numFmt numFmtId="166" formatCode="0.00&quot; km/h&quot;"/>
    <numFmt numFmtId="167" formatCode="0.000"/>
    <numFmt numFmtId="168" formatCode="0.00"/>
    <numFmt numFmtId="169" formatCode="0.00\ %"/>
    <numFmt numFmtId="170" formatCode="dd/mm/yyyy"/>
  </numFmts>
  <fonts count="2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</font>
    <font>
      <sz val="10"/>
      <color rgb="FF000000"/>
      <name val="Arial"/>
      <family val="0"/>
    </font>
    <font>
      <b val="true"/>
      <sz val="10"/>
      <color rgb="FF000000"/>
      <name val="Arial"/>
      <family val="0"/>
    </font>
    <font>
      <sz val="10"/>
      <color rgb="FFFFFFFF"/>
      <name val="Arial"/>
      <family val="0"/>
    </font>
    <font>
      <sz val="10"/>
      <color rgb="FFDBE5F1"/>
      <name val="Arial"/>
      <family val="0"/>
    </font>
    <font>
      <b val="true"/>
      <sz val="10"/>
      <color rgb="FFFFFFFF"/>
      <name val="Arial"/>
      <family val="0"/>
    </font>
    <font>
      <sz val="10"/>
      <color rgb="FFFF0000"/>
      <name val="Arial"/>
      <family val="0"/>
    </font>
    <font>
      <sz val="10"/>
      <color rgb="FF7F7F7F"/>
      <name val="Arial"/>
      <family val="0"/>
    </font>
    <font>
      <sz val="7"/>
      <color rgb="FF000000"/>
      <name val="Arial"/>
      <family val="0"/>
    </font>
    <font>
      <b val="true"/>
      <u val="single"/>
      <sz val="10"/>
      <color rgb="FFFFFFFF"/>
      <name val="Arial"/>
      <family val="0"/>
    </font>
    <font>
      <b val="true"/>
      <u val="single"/>
      <sz val="9"/>
      <color rgb="FFFFFFFF"/>
      <name val="Arial"/>
      <family val="0"/>
    </font>
    <font>
      <sz val="10"/>
      <color rgb="FFFFFFFF"/>
      <name val="Calibri"/>
      <family val="0"/>
    </font>
    <font>
      <sz val="10"/>
      <color rgb="FFFFFFFF"/>
      <name val="Wingdings"/>
      <family val="0"/>
    </font>
    <font>
      <sz val="10"/>
      <color rgb="FFFFFF00"/>
      <name val="Arial"/>
      <family val="0"/>
    </font>
    <font>
      <sz val="8"/>
      <color rgb="FF000000"/>
      <name val="Arial"/>
      <family val="0"/>
    </font>
    <font>
      <sz val="9"/>
      <color rgb="FFFFFFFF"/>
      <name val="Arial"/>
      <family val="0"/>
    </font>
    <font>
      <vertAlign val="superscript"/>
      <sz val="10"/>
      <color rgb="FFFFFFFF"/>
      <name val="Arial"/>
      <family val="0"/>
    </font>
    <font>
      <vertAlign val="subscript"/>
      <sz val="10"/>
      <color rgb="FF000000"/>
      <name val="Arial"/>
      <family val="0"/>
    </font>
    <font>
      <vertAlign val="superscript"/>
      <sz val="10"/>
      <color rgb="FF000000"/>
      <name val="Arial"/>
      <family val="0"/>
    </font>
    <font>
      <sz val="11"/>
      <color rgb="FF000000"/>
      <name val="Arial"/>
      <family val="0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1F497D"/>
        <bgColor rgb="FF003366"/>
      </patternFill>
    </fill>
    <fill>
      <patternFill patternType="solid">
        <fgColor rgb="FF7F7F7F"/>
        <bgColor rgb="FF969696"/>
      </patternFill>
    </fill>
    <fill>
      <patternFill patternType="solid">
        <fgColor rgb="FF92D050"/>
        <bgColor rgb="FFC0C0C0"/>
      </patternFill>
    </fill>
    <fill>
      <patternFill patternType="solid">
        <fgColor rgb="FFFF0000"/>
        <bgColor rgb="FF993300"/>
      </patternFill>
    </fill>
  </fills>
  <borders count="4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4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6" borderId="1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4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5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1" fillId="5" borderId="2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7" borderId="2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2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7" borderId="1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2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2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1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2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3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5" fillId="3" borderId="2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" fillId="0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3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5" borderId="3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5" borderId="3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5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5" borderId="2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0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7" fillId="3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6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5" fillId="0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8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3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3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7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3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3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3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3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1" fillId="5" borderId="3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5" fillId="0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3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4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4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6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6" borderId="16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70" fontId="5" fillId="6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BE5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trlProps/ctrlProps2.xml><?xml version="1.0" encoding="utf-8"?>
<formControlPr xmlns="http://schemas.microsoft.com/office/spreadsheetml/2009/9/main" objectType="CheckBox" autoLine="false" print="true" fmlaLink="1001!$J$9" lockText="1" noThreeD="1"/>
</file>

<file path=xl/ctrlProps/ctrlProps3.xml><?xml version="1.0" encoding="utf-8"?>
<formControlPr xmlns="http://schemas.microsoft.com/office/spreadsheetml/2009/9/main" objectType="CheckBox" checked="Checked" autoLine="false" print="true" fmlaLink="1001!$I$28" lockText="1" noThreeD="1"/>
</file>

<file path=xl/ctrlProps/ctrlProps4.xml><?xml version="1.0" encoding="utf-8"?>
<formControlPr xmlns="http://schemas.microsoft.com/office/spreadsheetml/2009/9/main" objectType="CheckBox" autoLine="false" print="true" fmlaLink="1001!$J$48" lockText="1" noThreeD="1"/>
</file>

<file path=xl/ctrlProps/ctrlProps6.xml><?xml version="1.0" encoding="utf-8"?>
<formControlPr xmlns="http://schemas.microsoft.com/office/spreadsheetml/2009/9/main" objectType="CheckBox" autoLine="false" print="true" fmlaLink="1001!$J$9" lockText="1" noThreeD="1"/>
</file>

<file path=xl/ctrlProps/ctrlProps7.xml><?xml version="1.0" encoding="utf-8"?>
<formControlPr xmlns="http://schemas.microsoft.com/office/spreadsheetml/2009/9/main" objectType="CheckBox" checked="Checked" autoLine="false" print="true" fmlaLink="1001!$I$28" lockText="1" noThreeD="1"/>
</file>

<file path=xl/ctrlProps/ctrlProps8.xml><?xml version="1.0" encoding="utf-8"?>
<formControlPr xmlns="http://schemas.microsoft.com/office/spreadsheetml/2009/9/main" objectType="CheckBox" autoLine="false" print="true" fmlaLink="1001!$J$48" lockText="1" noThreeD="1"/>
</file>

<file path=xl/ctrlProps/ctrlProps10.xml><?xml version="1.0" encoding="utf-8"?>
<formControlPr xmlns="http://schemas.microsoft.com/office/spreadsheetml/2009/9/main" objectType="CheckBox" autoLine="false" print="true" fmlaLink="1001!$J$9" lockText="1" noThreeD="1"/>
</file>

<file path=xl/ctrlProps/ctrlProps11.xml><?xml version="1.0" encoding="utf-8"?>
<formControlPr xmlns="http://schemas.microsoft.com/office/spreadsheetml/2009/9/main" objectType="CheckBox" checked="Checked" autoLine="false" print="true" fmlaLink="1001!$I$28" lockText="1" noThreeD="1"/>
</file>

<file path=xl/ctrlProps/ctrlProps12.xml><?xml version="1.0" encoding="utf-8"?>
<formControlPr xmlns="http://schemas.microsoft.com/office/spreadsheetml/2009/9/main" objectType="CheckBox" autoLine="false" print="true" fmlaLink="1001!$J$48" lockText="1" noThreeD="1"/>
</file>

<file path=xl/ctrlProps/ctrlProps14.xml><?xml version="1.0" encoding="utf-8"?>
<formControlPr xmlns="http://schemas.microsoft.com/office/spreadsheetml/2009/9/main" objectType="CheckBox" autoLine="false" print="true" fmlaLink="1001!$J$9" lockText="1" noThreeD="1"/>
</file>

<file path=xl/ctrlProps/ctrlProps15.xml><?xml version="1.0" encoding="utf-8"?>
<formControlPr xmlns="http://schemas.microsoft.com/office/spreadsheetml/2009/9/main" objectType="CheckBox" checked="Checked" autoLine="false" print="true" fmlaLink="1001!$I$28" lockText="1" noThreeD="1"/>
</file>

<file path=xl/ctrlProps/ctrlProps16.xml><?xml version="1.0" encoding="utf-8"?>
<formControlPr xmlns="http://schemas.microsoft.com/office/spreadsheetml/2009/9/main" objectType="CheckBox" autoLine="false" print="true" fmlaLink="1001!$J$48" lockText="1" noThreeD="1"/>
</file>

<file path=xl/ctrlProps/ctrlProps18.xml><?xml version="1.0" encoding="utf-8"?>
<formControlPr xmlns="http://schemas.microsoft.com/office/spreadsheetml/2009/9/main" objectType="CheckBox" autoLine="false" print="true" fmlaLink="1001!$J$9" lockText="1" noThreeD="1"/>
</file>

<file path=xl/ctrlProps/ctrlProps19.xml><?xml version="1.0" encoding="utf-8"?>
<formControlPr xmlns="http://schemas.microsoft.com/office/spreadsheetml/2009/9/main" objectType="CheckBox" checked="Checked" autoLine="false" print="true" fmlaLink="1001!$I$28" lockText="1" noThreeD="1"/>
</file>

<file path=xl/ctrlProps/ctrlProps20.xml><?xml version="1.0" encoding="utf-8"?>
<formControlPr xmlns="http://schemas.microsoft.com/office/spreadsheetml/2009/9/main" objectType="CheckBox" autoLine="false" print="true" fmlaLink="1001!$J$48" lockText="1" noThreeD="1"/>
</file>

<file path=xl/ctrlProps/ctrlProps22.xml><?xml version="1.0" encoding="utf-8"?>
<formControlPr xmlns="http://schemas.microsoft.com/office/spreadsheetml/2009/9/main" objectType="CheckBox" autoLine="false" print="true" fmlaLink="1001!$J$9" lockText="1" noThreeD="1"/>
</file>

<file path=xl/ctrlProps/ctrlProps23.xml><?xml version="1.0" encoding="utf-8"?>
<formControlPr xmlns="http://schemas.microsoft.com/office/spreadsheetml/2009/9/main" objectType="CheckBox" checked="Checked" autoLine="false" print="true" fmlaLink="1001!$I$28" lockText="1" noThreeD="1"/>
</file>

<file path=xl/ctrlProps/ctrlProps24.xml><?xml version="1.0" encoding="utf-8"?>
<formControlPr xmlns="http://schemas.microsoft.com/office/spreadsheetml/2009/9/main" objectType="CheckBox" autoLine="false" print="true" fmlaLink="1001!$J$48" lockText="1" noThreeD="1"/>
</file>

<file path=xl/ctrlProps/ctrlProps26.xml><?xml version="1.0" encoding="utf-8"?>
<formControlPr xmlns="http://schemas.microsoft.com/office/spreadsheetml/2009/9/main" objectType="CheckBox" autoLine="false" print="true" fmlaLink="1001!$J$9" lockText="1" noThreeD="1"/>
</file>

<file path=xl/ctrlProps/ctrlProps27.xml><?xml version="1.0" encoding="utf-8"?>
<formControlPr xmlns="http://schemas.microsoft.com/office/spreadsheetml/2009/9/main" objectType="CheckBox" checked="Checked" autoLine="false" print="true" fmlaLink="1001!$I$28" lockText="1" noThreeD="1"/>
</file>

<file path=xl/ctrlProps/ctrlProps28.xml><?xml version="1.0" encoding="utf-8"?>
<formControlPr xmlns="http://schemas.microsoft.com/office/spreadsheetml/2009/9/main" objectType="CheckBox" autoLine="false" print="true" fmlaLink="1001!$J$48" lockText="1" noThreeD="1"/>
</file>

<file path=xl/ctrlProps/ctrlProps30.xml><?xml version="1.0" encoding="utf-8"?>
<formControlPr xmlns="http://schemas.microsoft.com/office/spreadsheetml/2009/9/main" objectType="CheckBox" autoLine="false" print="true" fmlaLink="1001!$J$9" lockText="1" noThreeD="1"/>
</file>

<file path=xl/ctrlProps/ctrlProps31.xml><?xml version="1.0" encoding="utf-8"?>
<formControlPr xmlns="http://schemas.microsoft.com/office/spreadsheetml/2009/9/main" objectType="CheckBox" checked="Checked" autoLine="false" print="true" fmlaLink="1001!$I$28" lockText="1" noThreeD="1"/>
</file>

<file path=xl/ctrlProps/ctrlProps32.xml><?xml version="1.0" encoding="utf-8"?>
<formControlPr xmlns="http://schemas.microsoft.com/office/spreadsheetml/2009/9/main" objectType="CheckBox" autoLine="false" print="true" fmlaLink="1001!$J$48" lockText="1" noThreeD="1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725400</xdr:colOff>
          <xdr:row>8</xdr:row>
          <xdr:rowOff>20880</xdr:rowOff>
        </xdr:from>
        <xdr:to>
          <xdr:col>10</xdr:col>
          <xdr:colOff>23760</xdr:colOff>
          <xdr:row>9</xdr:row>
          <xdr:rowOff>-17640</xdr:rowOff>
        </xdr:to>
        <xdr:sp>
          <xdr:nvSpPr>
            <xdr:cNvPr id="1001" name="Casilla 1" descr="No Correspond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No Corresponde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783360</xdr:colOff>
          <xdr:row>27</xdr:row>
          <xdr:rowOff>43920</xdr:rowOff>
        </xdr:from>
        <xdr:to>
          <xdr:col>9</xdr:col>
          <xdr:colOff>63720</xdr:colOff>
          <xdr:row>28</xdr:row>
          <xdr:rowOff>-175320</xdr:rowOff>
        </xdr:to>
        <xdr:sp>
          <xdr:nvSpPr>
            <xdr:cNvPr id="1002" name="Casilla 2" descr="No Correspond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No Corresponde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811080</xdr:colOff>
          <xdr:row>47</xdr:row>
          <xdr:rowOff>19440</xdr:rowOff>
        </xdr:from>
        <xdr:to>
          <xdr:col>15</xdr:col>
          <xdr:colOff>138240</xdr:colOff>
          <xdr:row>48</xdr:row>
          <xdr:rowOff>57240</xdr:rowOff>
        </xdr:to>
        <xdr:sp>
          <xdr:nvSpPr>
            <xdr:cNvPr id="1003" name="Casilla 3" descr="No Correspond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No Corresponde</a:t>
              </a:r>
            </a:p>
          </xdr:txBody>
        </xdr:sp>
        <xdr:clientData/>
      </xdr:twoCellAnchor>
    </mc:Choice>
  </mc:AlternateContent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725400</xdr:colOff>
          <xdr:row>8</xdr:row>
          <xdr:rowOff>20880</xdr:rowOff>
        </xdr:from>
        <xdr:to>
          <xdr:col>10</xdr:col>
          <xdr:colOff>23760</xdr:colOff>
          <xdr:row>9</xdr:row>
          <xdr:rowOff>-17640</xdr:rowOff>
        </xdr:to>
        <xdr:sp>
          <xdr:nvSpPr>
            <xdr:cNvPr id="1001" name="Casilla 1" descr="No Correspond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No Corresponde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783360</xdr:colOff>
          <xdr:row>27</xdr:row>
          <xdr:rowOff>43920</xdr:rowOff>
        </xdr:from>
        <xdr:to>
          <xdr:col>9</xdr:col>
          <xdr:colOff>63720</xdr:colOff>
          <xdr:row>28</xdr:row>
          <xdr:rowOff>-175320</xdr:rowOff>
        </xdr:to>
        <xdr:sp>
          <xdr:nvSpPr>
            <xdr:cNvPr id="1002" name="Casilla 2" descr="No Correspond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No Corresponde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811080</xdr:colOff>
          <xdr:row>47</xdr:row>
          <xdr:rowOff>19440</xdr:rowOff>
        </xdr:from>
        <xdr:to>
          <xdr:col>15</xdr:col>
          <xdr:colOff>138240</xdr:colOff>
          <xdr:row>48</xdr:row>
          <xdr:rowOff>57240</xdr:rowOff>
        </xdr:to>
        <xdr:sp>
          <xdr:nvSpPr>
            <xdr:cNvPr id="1003" name="Casilla 3" descr="No Correspond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No Corresponde</a:t>
              </a:r>
            </a:p>
          </xdr:txBody>
        </xdr:sp>
        <xdr:clientData/>
      </xdr:twoCellAnchor>
    </mc:Choice>
  </mc:AlternateContent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725400</xdr:colOff>
          <xdr:row>8</xdr:row>
          <xdr:rowOff>20880</xdr:rowOff>
        </xdr:from>
        <xdr:to>
          <xdr:col>10</xdr:col>
          <xdr:colOff>23760</xdr:colOff>
          <xdr:row>9</xdr:row>
          <xdr:rowOff>-17640</xdr:rowOff>
        </xdr:to>
        <xdr:sp>
          <xdr:nvSpPr>
            <xdr:cNvPr id="1001" name="Casilla 1" descr="No Correspond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No Corresponde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783360</xdr:colOff>
          <xdr:row>27</xdr:row>
          <xdr:rowOff>43920</xdr:rowOff>
        </xdr:from>
        <xdr:to>
          <xdr:col>9</xdr:col>
          <xdr:colOff>63720</xdr:colOff>
          <xdr:row>28</xdr:row>
          <xdr:rowOff>-175320</xdr:rowOff>
        </xdr:to>
        <xdr:sp>
          <xdr:nvSpPr>
            <xdr:cNvPr id="1002" name="Casilla 2" descr="No Correspond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No Corresponde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811080</xdr:colOff>
          <xdr:row>47</xdr:row>
          <xdr:rowOff>19440</xdr:rowOff>
        </xdr:from>
        <xdr:to>
          <xdr:col>15</xdr:col>
          <xdr:colOff>138240</xdr:colOff>
          <xdr:row>48</xdr:row>
          <xdr:rowOff>57240</xdr:rowOff>
        </xdr:to>
        <xdr:sp>
          <xdr:nvSpPr>
            <xdr:cNvPr id="1003" name="Casilla 3" descr="No Correspond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No Corresponde</a:t>
              </a:r>
            </a:p>
          </xdr:txBody>
        </xdr:sp>
        <xdr:clientData/>
      </xdr:twoCellAnchor>
    </mc:Choice>
  </mc:AlternateContent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725400</xdr:colOff>
          <xdr:row>8</xdr:row>
          <xdr:rowOff>20880</xdr:rowOff>
        </xdr:from>
        <xdr:to>
          <xdr:col>10</xdr:col>
          <xdr:colOff>23760</xdr:colOff>
          <xdr:row>9</xdr:row>
          <xdr:rowOff>-17640</xdr:rowOff>
        </xdr:to>
        <xdr:sp>
          <xdr:nvSpPr>
            <xdr:cNvPr id="1001" name="Casilla 1" descr="No Correspond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No Corresponde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783360</xdr:colOff>
          <xdr:row>27</xdr:row>
          <xdr:rowOff>43920</xdr:rowOff>
        </xdr:from>
        <xdr:to>
          <xdr:col>9</xdr:col>
          <xdr:colOff>63720</xdr:colOff>
          <xdr:row>28</xdr:row>
          <xdr:rowOff>-175320</xdr:rowOff>
        </xdr:to>
        <xdr:sp>
          <xdr:nvSpPr>
            <xdr:cNvPr id="1002" name="Casilla 2" descr="No Correspond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No Corresponde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811080</xdr:colOff>
          <xdr:row>47</xdr:row>
          <xdr:rowOff>19440</xdr:rowOff>
        </xdr:from>
        <xdr:to>
          <xdr:col>15</xdr:col>
          <xdr:colOff>138240</xdr:colOff>
          <xdr:row>48</xdr:row>
          <xdr:rowOff>57240</xdr:rowOff>
        </xdr:to>
        <xdr:sp>
          <xdr:nvSpPr>
            <xdr:cNvPr id="1003" name="Casilla 3" descr="No Correspond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No Corresponde</a:t>
              </a:r>
            </a:p>
          </xdr:txBody>
        </xdr:sp>
        <xdr:clientData/>
      </xdr:twoCellAnchor>
    </mc:Choice>
  </mc:AlternateContent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725400</xdr:colOff>
          <xdr:row>8</xdr:row>
          <xdr:rowOff>20880</xdr:rowOff>
        </xdr:from>
        <xdr:to>
          <xdr:col>10</xdr:col>
          <xdr:colOff>23760</xdr:colOff>
          <xdr:row>9</xdr:row>
          <xdr:rowOff>-17640</xdr:rowOff>
        </xdr:to>
        <xdr:sp>
          <xdr:nvSpPr>
            <xdr:cNvPr id="1001" name="Casilla 1" descr="No Correspond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No Corresponde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783360</xdr:colOff>
          <xdr:row>27</xdr:row>
          <xdr:rowOff>43920</xdr:rowOff>
        </xdr:from>
        <xdr:to>
          <xdr:col>9</xdr:col>
          <xdr:colOff>63720</xdr:colOff>
          <xdr:row>28</xdr:row>
          <xdr:rowOff>-175320</xdr:rowOff>
        </xdr:to>
        <xdr:sp>
          <xdr:nvSpPr>
            <xdr:cNvPr id="1002" name="Casilla 2" descr="No Correspond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No Corresponde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811080</xdr:colOff>
          <xdr:row>47</xdr:row>
          <xdr:rowOff>19440</xdr:rowOff>
        </xdr:from>
        <xdr:to>
          <xdr:col>15</xdr:col>
          <xdr:colOff>138240</xdr:colOff>
          <xdr:row>48</xdr:row>
          <xdr:rowOff>57240</xdr:rowOff>
        </xdr:to>
        <xdr:sp>
          <xdr:nvSpPr>
            <xdr:cNvPr id="1003" name="Casilla 3" descr="No Correspond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No Corresponde</a:t>
              </a:r>
            </a:p>
          </xdr:txBody>
        </xdr:sp>
        <xdr:clientData/>
      </xdr:twoCellAnchor>
    </mc:Choice>
  </mc:AlternateContent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725400</xdr:colOff>
          <xdr:row>8</xdr:row>
          <xdr:rowOff>20880</xdr:rowOff>
        </xdr:from>
        <xdr:to>
          <xdr:col>10</xdr:col>
          <xdr:colOff>23760</xdr:colOff>
          <xdr:row>9</xdr:row>
          <xdr:rowOff>-17640</xdr:rowOff>
        </xdr:to>
        <xdr:sp>
          <xdr:nvSpPr>
            <xdr:cNvPr id="1001" name="Casilla 1" descr="No Correspond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No Corresponde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783360</xdr:colOff>
          <xdr:row>27</xdr:row>
          <xdr:rowOff>43920</xdr:rowOff>
        </xdr:from>
        <xdr:to>
          <xdr:col>9</xdr:col>
          <xdr:colOff>63720</xdr:colOff>
          <xdr:row>28</xdr:row>
          <xdr:rowOff>-175320</xdr:rowOff>
        </xdr:to>
        <xdr:sp>
          <xdr:nvSpPr>
            <xdr:cNvPr id="1002" name="Casilla 2" descr="No Correspond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No Corresponde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811080</xdr:colOff>
          <xdr:row>47</xdr:row>
          <xdr:rowOff>19440</xdr:rowOff>
        </xdr:from>
        <xdr:to>
          <xdr:col>15</xdr:col>
          <xdr:colOff>138240</xdr:colOff>
          <xdr:row>48</xdr:row>
          <xdr:rowOff>57240</xdr:rowOff>
        </xdr:to>
        <xdr:sp>
          <xdr:nvSpPr>
            <xdr:cNvPr id="1003" name="Casilla 3" descr="No Correspond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No Corresponde</a:t>
              </a:r>
            </a:p>
          </xdr:txBody>
        </xdr:sp>
        <xdr:clientData/>
      </xdr:twoCellAnchor>
    </mc:Choice>
  </mc:AlternateContent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725400</xdr:colOff>
          <xdr:row>8</xdr:row>
          <xdr:rowOff>20880</xdr:rowOff>
        </xdr:from>
        <xdr:to>
          <xdr:col>10</xdr:col>
          <xdr:colOff>23760</xdr:colOff>
          <xdr:row>9</xdr:row>
          <xdr:rowOff>-17640</xdr:rowOff>
        </xdr:to>
        <xdr:sp>
          <xdr:nvSpPr>
            <xdr:cNvPr id="1001" name="Casilla 1" descr="No Correspond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No Corresponde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783360</xdr:colOff>
          <xdr:row>27</xdr:row>
          <xdr:rowOff>43920</xdr:rowOff>
        </xdr:from>
        <xdr:to>
          <xdr:col>9</xdr:col>
          <xdr:colOff>63720</xdr:colOff>
          <xdr:row>28</xdr:row>
          <xdr:rowOff>-175320</xdr:rowOff>
        </xdr:to>
        <xdr:sp>
          <xdr:nvSpPr>
            <xdr:cNvPr id="1002" name="Casilla 2" descr="No Correspond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No Corresponde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811080</xdr:colOff>
          <xdr:row>47</xdr:row>
          <xdr:rowOff>19440</xdr:rowOff>
        </xdr:from>
        <xdr:to>
          <xdr:col>15</xdr:col>
          <xdr:colOff>138240</xdr:colOff>
          <xdr:row>48</xdr:row>
          <xdr:rowOff>57240</xdr:rowOff>
        </xdr:to>
        <xdr:sp>
          <xdr:nvSpPr>
            <xdr:cNvPr id="1003" name="Casilla 3" descr="No Correspond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No Corresponde</a:t>
              </a:r>
            </a:p>
          </xdr:txBody>
        </xdr:sp>
        <xdr:clientData/>
      </xdr:twoCellAnchor>
    </mc:Choice>
  </mc:AlternateContent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725400</xdr:colOff>
          <xdr:row>8</xdr:row>
          <xdr:rowOff>20880</xdr:rowOff>
        </xdr:from>
        <xdr:to>
          <xdr:col>10</xdr:col>
          <xdr:colOff>23760</xdr:colOff>
          <xdr:row>9</xdr:row>
          <xdr:rowOff>-17640</xdr:rowOff>
        </xdr:to>
        <xdr:sp>
          <xdr:nvSpPr>
            <xdr:cNvPr id="1001" name="Casilla 1" descr="No Correspond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No Corresponde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783360</xdr:colOff>
          <xdr:row>27</xdr:row>
          <xdr:rowOff>43920</xdr:rowOff>
        </xdr:from>
        <xdr:to>
          <xdr:col>9</xdr:col>
          <xdr:colOff>63720</xdr:colOff>
          <xdr:row>28</xdr:row>
          <xdr:rowOff>-175320</xdr:rowOff>
        </xdr:to>
        <xdr:sp>
          <xdr:nvSpPr>
            <xdr:cNvPr id="1002" name="Casilla 2" descr="No Correspond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No Corresponde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811080</xdr:colOff>
          <xdr:row>47</xdr:row>
          <xdr:rowOff>19440</xdr:rowOff>
        </xdr:from>
        <xdr:to>
          <xdr:col>15</xdr:col>
          <xdr:colOff>138240</xdr:colOff>
          <xdr:row>48</xdr:row>
          <xdr:rowOff>57240</xdr:rowOff>
        </xdr:to>
        <xdr:sp>
          <xdr:nvSpPr>
            <xdr:cNvPr id="1003" name="Casilla 3" descr="No Correspond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No Corresponde</a:t>
              </a:r>
            </a:p>
          </xdr:txBody>
        </xdr:sp>
        <xdr:clientData/>
      </xdr:twoCellAnchor>
    </mc:Choice>
  </mc:AlternateContent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ctrlProp" Target="../ctrlProps/ctrlProps2.xml"/><Relationship Id="rId5" Type="http://schemas.openxmlformats.org/officeDocument/2006/relationships/ctrlProp" Target="../ctrlProps/ctrlProps3.xml"/><Relationship Id="rId6" Type="http://schemas.openxmlformats.org/officeDocument/2006/relationships/ctrlProp" Target="../ctrlProps/ctrlProps4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Relationship Id="rId4" Type="http://schemas.openxmlformats.org/officeDocument/2006/relationships/ctrlProp" Target="../ctrlProps/ctrlProps6.xml"/><Relationship Id="rId5" Type="http://schemas.openxmlformats.org/officeDocument/2006/relationships/ctrlProp" Target="../ctrlProps/ctrlProps7.xml"/><Relationship Id="rId6" Type="http://schemas.openxmlformats.org/officeDocument/2006/relationships/ctrlProp" Target="../ctrlProps/ctrlProps8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3.vml"/><Relationship Id="rId4" Type="http://schemas.openxmlformats.org/officeDocument/2006/relationships/ctrlProp" Target="../ctrlProps/ctrlProps10.xml"/><Relationship Id="rId5" Type="http://schemas.openxmlformats.org/officeDocument/2006/relationships/ctrlProp" Target="../ctrlProps/ctrlProps11.xml"/><Relationship Id="rId6" Type="http://schemas.openxmlformats.org/officeDocument/2006/relationships/ctrlProp" Target="../ctrlProps/ctrlProps1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4.vml"/><Relationship Id="rId4" Type="http://schemas.openxmlformats.org/officeDocument/2006/relationships/ctrlProp" Target="../ctrlProps/ctrlProps14.xml"/><Relationship Id="rId5" Type="http://schemas.openxmlformats.org/officeDocument/2006/relationships/ctrlProp" Target="../ctrlProps/ctrlProps15.xml"/><Relationship Id="rId6" Type="http://schemas.openxmlformats.org/officeDocument/2006/relationships/ctrlProp" Target="../ctrlProps/ctrlProps16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5.vml"/><Relationship Id="rId4" Type="http://schemas.openxmlformats.org/officeDocument/2006/relationships/ctrlProp" Target="../ctrlProps/ctrlProps18.xml"/><Relationship Id="rId5" Type="http://schemas.openxmlformats.org/officeDocument/2006/relationships/ctrlProp" Target="../ctrlProps/ctrlProps19.xml"/><Relationship Id="rId6" Type="http://schemas.openxmlformats.org/officeDocument/2006/relationships/ctrlProp" Target="../ctrlProps/ctrlProps20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6.vml"/><Relationship Id="rId4" Type="http://schemas.openxmlformats.org/officeDocument/2006/relationships/ctrlProp" Target="../ctrlProps/ctrlProps22.xml"/><Relationship Id="rId5" Type="http://schemas.openxmlformats.org/officeDocument/2006/relationships/ctrlProp" Target="../ctrlProps/ctrlProps23.xml"/><Relationship Id="rId6" Type="http://schemas.openxmlformats.org/officeDocument/2006/relationships/ctrlProp" Target="../ctrlProps/ctrlProps2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7.vml"/><Relationship Id="rId4" Type="http://schemas.openxmlformats.org/officeDocument/2006/relationships/ctrlProp" Target="../ctrlProps/ctrlProps26.xml"/><Relationship Id="rId5" Type="http://schemas.openxmlformats.org/officeDocument/2006/relationships/ctrlProp" Target="../ctrlProps/ctrlProps27.xml"/><Relationship Id="rId6" Type="http://schemas.openxmlformats.org/officeDocument/2006/relationships/ctrlProp" Target="../ctrlProps/ctrlProps28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8.vml"/><Relationship Id="rId4" Type="http://schemas.openxmlformats.org/officeDocument/2006/relationships/ctrlProp" Target="../ctrlProps/ctrlProps30.xml"/><Relationship Id="rId5" Type="http://schemas.openxmlformats.org/officeDocument/2006/relationships/ctrlProp" Target="../ctrlProps/ctrlProps31.xml"/><Relationship Id="rId6" Type="http://schemas.openxmlformats.org/officeDocument/2006/relationships/ctrlProp" Target="../ctrlProps/ctrlProps3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75" workbookViewId="0">
      <selection pane="topLeft" activeCell="C13" activeCellId="0" sqref="C13"/>
    </sheetView>
  </sheetViews>
  <sheetFormatPr defaultColWidth="12.71484375" defaultRowHeight="15" customHeight="true" zeroHeight="false" outlineLevelRow="0" outlineLevelCol="0"/>
  <cols>
    <col collapsed="false" customWidth="true" hidden="false" outlineLevel="0" max="1" min="1" style="0" width="3.78"/>
    <col collapsed="false" customWidth="true" hidden="false" outlineLevel="0" max="2" min="2" style="0" width="25.3"/>
    <col collapsed="false" customWidth="true" hidden="false" outlineLevel="0" max="3" min="3" style="0" width="27.06"/>
    <col collapsed="false" customWidth="true" hidden="false" outlineLevel="0" max="4" min="4" style="0" width="3.78"/>
    <col collapsed="false" customWidth="true" hidden="false" outlineLevel="0" max="5" min="5" style="0" width="25.3"/>
    <col collapsed="false" customWidth="true" hidden="false" outlineLevel="0" max="6" min="6" style="0" width="27.06"/>
    <col collapsed="false" customWidth="true" hidden="false" outlineLevel="0" max="8" min="7" style="0" width="10.07"/>
    <col collapsed="false" customWidth="true" hidden="false" outlineLevel="0" max="9" min="9" style="0" width="10.83"/>
    <col collapsed="false" customWidth="true" hidden="false" outlineLevel="0" max="10" min="10" style="0" width="10.07"/>
    <col collapsed="false" customWidth="true" hidden="false" outlineLevel="0" max="11" min="11" style="0" width="1.13"/>
    <col collapsed="false" customWidth="true" hidden="true" outlineLevel="0" max="12" min="12" style="0" width="4.4"/>
    <col collapsed="false" customWidth="true" hidden="true" outlineLevel="0" max="13" min="13" style="0" width="28.57"/>
    <col collapsed="false" customWidth="true" hidden="true" outlineLevel="0" max="14" min="14" style="0" width="1.13"/>
    <col collapsed="false" customWidth="true" hidden="true" outlineLevel="0" max="15" min="15" style="0" width="9.19"/>
    <col collapsed="false" customWidth="true" hidden="false" outlineLevel="0" max="26" min="16" style="0" width="9.44"/>
  </cols>
  <sheetData>
    <row r="1" customFormat="false" ht="26.25" hidden="false" customHeight="true" outlineLevel="0" collapsed="false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3"/>
      <c r="L1" s="3"/>
      <c r="M1" s="3"/>
      <c r="N1" s="3"/>
      <c r="O1" s="4" t="s">
        <v>1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9.5" hidden="false" customHeight="true" outlineLevel="0" collapsed="false">
      <c r="A2" s="5" t="n">
        <v>1</v>
      </c>
      <c r="B2" s="6" t="s">
        <v>2</v>
      </c>
      <c r="C2" s="7"/>
      <c r="D2" s="8" t="s">
        <v>3</v>
      </c>
      <c r="E2" s="8"/>
      <c r="F2" s="9" t="str">
        <f aca="false">"R" &amp; D5 &amp; "V" &amp; RIGHT(C13,6)</f>
        <v>RV001001</v>
      </c>
      <c r="G2" s="2"/>
      <c r="H2" s="2"/>
      <c r="I2" s="2"/>
      <c r="J2" s="2"/>
      <c r="K2" s="3"/>
      <c r="L2" s="10" t="s">
        <v>4</v>
      </c>
      <c r="M2" s="11" t="s">
        <v>5</v>
      </c>
      <c r="N2" s="3"/>
      <c r="O2" s="12" t="s">
        <v>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24" hidden="false" customHeight="true" outlineLevel="0" collapsed="false">
      <c r="A3" s="13" t="s">
        <v>7</v>
      </c>
      <c r="B3" s="13"/>
      <c r="C3" s="13"/>
      <c r="D3" s="13"/>
      <c r="E3" s="13"/>
      <c r="F3" s="13"/>
      <c r="G3" s="14"/>
      <c r="H3" s="15"/>
      <c r="I3" s="15"/>
      <c r="J3" s="15"/>
      <c r="K3" s="3"/>
      <c r="L3" s="16" t="s">
        <v>8</v>
      </c>
      <c r="M3" s="16" t="s">
        <v>8</v>
      </c>
      <c r="N3" s="3"/>
      <c r="O3" s="12" t="s">
        <v>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9.5" hidden="false" customHeight="true" outlineLevel="0" collapsed="false">
      <c r="A4" s="17" t="n">
        <v>2</v>
      </c>
      <c r="B4" s="18" t="s">
        <v>10</v>
      </c>
      <c r="C4" s="18"/>
      <c r="D4" s="19"/>
      <c r="E4" s="19"/>
      <c r="F4" s="19"/>
      <c r="G4" s="14"/>
      <c r="H4" s="15"/>
      <c r="I4" s="15"/>
      <c r="J4" s="15"/>
      <c r="K4" s="3"/>
      <c r="L4" s="16" t="s">
        <v>11</v>
      </c>
      <c r="M4" s="16" t="s">
        <v>12</v>
      </c>
      <c r="N4" s="3"/>
      <c r="O4" s="12" t="s">
        <v>13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9.5" hidden="false" customHeight="true" outlineLevel="0" collapsed="false">
      <c r="A5" s="20" t="n">
        <v>3</v>
      </c>
      <c r="B5" s="21" t="s">
        <v>14</v>
      </c>
      <c r="C5" s="21"/>
      <c r="D5" s="22"/>
      <c r="E5" s="22"/>
      <c r="F5" s="22"/>
      <c r="G5" s="14"/>
      <c r="H5" s="15"/>
      <c r="I5" s="15"/>
      <c r="J5" s="15"/>
      <c r="K5" s="3"/>
      <c r="L5" s="16" t="s">
        <v>15</v>
      </c>
      <c r="M5" s="16" t="s">
        <v>16</v>
      </c>
      <c r="N5" s="3"/>
      <c r="O5" s="12" t="s">
        <v>17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9.5" hidden="false" customHeight="true" outlineLevel="0" collapsed="false">
      <c r="A6" s="20" t="n">
        <v>4</v>
      </c>
      <c r="B6" s="21" t="s">
        <v>18</v>
      </c>
      <c r="C6" s="21"/>
      <c r="D6" s="22"/>
      <c r="E6" s="22"/>
      <c r="F6" s="22"/>
      <c r="G6" s="14"/>
      <c r="H6" s="23" t="s">
        <v>19</v>
      </c>
      <c r="I6" s="24"/>
      <c r="J6" s="24"/>
      <c r="K6" s="3"/>
      <c r="L6" s="16" t="s">
        <v>20</v>
      </c>
      <c r="M6" s="16" t="s">
        <v>21</v>
      </c>
      <c r="N6" s="3"/>
      <c r="O6" s="12" t="s">
        <v>22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9.5" hidden="false" customHeight="true" outlineLevel="0" collapsed="false">
      <c r="A7" s="20" t="n">
        <v>5</v>
      </c>
      <c r="B7" s="21" t="s">
        <v>23</v>
      </c>
      <c r="C7" s="21"/>
      <c r="D7" s="22"/>
      <c r="E7" s="22"/>
      <c r="F7" s="22"/>
      <c r="G7" s="14"/>
      <c r="H7" s="25" t="s">
        <v>24</v>
      </c>
      <c r="I7" s="25"/>
      <c r="J7" s="25"/>
      <c r="K7" s="3"/>
      <c r="L7" s="16" t="s">
        <v>25</v>
      </c>
      <c r="M7" s="26" t="s">
        <v>26</v>
      </c>
      <c r="N7" s="3"/>
      <c r="O7" s="12" t="s">
        <v>27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9.5" hidden="false" customHeight="true" outlineLevel="0" collapsed="false">
      <c r="A8" s="27" t="n">
        <v>6</v>
      </c>
      <c r="B8" s="28" t="s">
        <v>28</v>
      </c>
      <c r="C8" s="28"/>
      <c r="D8" s="29"/>
      <c r="E8" s="29"/>
      <c r="F8" s="29"/>
      <c r="G8" s="14"/>
      <c r="H8" s="25"/>
      <c r="I8" s="25"/>
      <c r="J8" s="25"/>
      <c r="K8" s="3"/>
      <c r="L8" s="16" t="s">
        <v>29</v>
      </c>
      <c r="M8" s="26" t="s">
        <v>30</v>
      </c>
      <c r="N8" s="3"/>
      <c r="O8" s="12" t="s">
        <v>31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24" hidden="false" customHeight="true" outlineLevel="0" collapsed="false">
      <c r="A9" s="30" t="s">
        <v>32</v>
      </c>
      <c r="B9" s="30"/>
      <c r="C9" s="30"/>
      <c r="D9" s="30"/>
      <c r="E9" s="30"/>
      <c r="F9" s="30"/>
      <c r="G9" s="14"/>
      <c r="H9" s="31" t="s">
        <v>33</v>
      </c>
      <c r="I9" s="32"/>
      <c r="J9" s="33" t="b">
        <v>0</v>
      </c>
      <c r="K9" s="3"/>
      <c r="L9" s="16" t="s">
        <v>34</v>
      </c>
      <c r="M9" s="3"/>
      <c r="N9" s="3"/>
      <c r="O9" s="12" t="s">
        <v>35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8" hidden="false" customHeight="true" outlineLevel="0" collapsed="false">
      <c r="A10" s="17" t="n">
        <v>7</v>
      </c>
      <c r="B10" s="18" t="s">
        <v>36</v>
      </c>
      <c r="C10" s="18"/>
      <c r="D10" s="34" t="n">
        <v>8</v>
      </c>
      <c r="E10" s="18" t="s">
        <v>37</v>
      </c>
      <c r="F10" s="35"/>
      <c r="G10" s="14"/>
      <c r="H10" s="36" t="s">
        <v>38</v>
      </c>
      <c r="I10" s="37" t="n">
        <f aca="false">IF(J9,"NO CORRESPONDE",ROUND(I11,J11))</f>
        <v>0</v>
      </c>
      <c r="J10" s="38" t="s">
        <v>39</v>
      </c>
      <c r="K10" s="3"/>
      <c r="L10" s="16" t="s">
        <v>40</v>
      </c>
      <c r="M10" s="3"/>
      <c r="N10" s="3"/>
      <c r="O10" s="12" t="s">
        <v>41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8" hidden="false" customHeight="true" outlineLevel="0" collapsed="false">
      <c r="A11" s="20" t="n">
        <v>9</v>
      </c>
      <c r="B11" s="21" t="s">
        <v>42</v>
      </c>
      <c r="C11" s="21"/>
      <c r="D11" s="39" t="n">
        <v>10</v>
      </c>
      <c r="E11" s="21" t="s">
        <v>43</v>
      </c>
      <c r="F11" s="40"/>
      <c r="G11" s="14"/>
      <c r="H11" s="41" t="s">
        <v>44</v>
      </c>
      <c r="I11" s="42" t="n">
        <f aca="false">SUM(I12*J12,I13*J13,I14*J14,I15*J17)</f>
        <v>0</v>
      </c>
      <c r="J11" s="38" t="n">
        <v>0</v>
      </c>
      <c r="K11" s="3"/>
      <c r="L11" s="16" t="s">
        <v>45</v>
      </c>
      <c r="M11" s="3"/>
      <c r="N11" s="3"/>
      <c r="O11" s="12" t="s">
        <v>46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8" hidden="false" customHeight="true" outlineLevel="0" collapsed="false">
      <c r="A12" s="20" t="n">
        <v>11</v>
      </c>
      <c r="B12" s="21" t="s">
        <v>47</v>
      </c>
      <c r="C12" s="43" t="s">
        <v>48</v>
      </c>
      <c r="D12" s="39" t="n">
        <v>12</v>
      </c>
      <c r="E12" s="21" t="s">
        <v>49</v>
      </c>
      <c r="F12" s="40"/>
      <c r="G12" s="14"/>
      <c r="H12" s="44" t="s">
        <v>50</v>
      </c>
      <c r="I12" s="45"/>
      <c r="J12" s="38" t="n">
        <v>1</v>
      </c>
      <c r="K12" s="3"/>
      <c r="L12" s="16" t="s">
        <v>51</v>
      </c>
      <c r="M12" s="3"/>
      <c r="N12" s="3"/>
      <c r="O12" s="12" t="s">
        <v>52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8" hidden="false" customHeight="true" outlineLevel="0" collapsed="false">
      <c r="A13" s="20" t="n">
        <v>13</v>
      </c>
      <c r="B13" s="21" t="s">
        <v>53</v>
      </c>
      <c r="C13" s="46" t="str">
        <f aca="false">IF(ISBLANK(I6), C12, I6)</f>
        <v>ABCDE1234WX001001</v>
      </c>
      <c r="D13" s="39" t="n">
        <v>14</v>
      </c>
      <c r="E13" s="21" t="s">
        <v>54</v>
      </c>
      <c r="F13" s="35"/>
      <c r="G13" s="14"/>
      <c r="H13" s="47" t="s">
        <v>55</v>
      </c>
      <c r="I13" s="48"/>
      <c r="J13" s="38" t="n">
        <v>1.609344</v>
      </c>
      <c r="K13" s="3"/>
      <c r="L13" s="16" t="s">
        <v>56</v>
      </c>
      <c r="M13" s="3"/>
      <c r="N13" s="3"/>
      <c r="O13" s="49" t="s">
        <v>57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8" hidden="false" customHeight="true" outlineLevel="0" collapsed="false">
      <c r="A14" s="20" t="n">
        <v>15</v>
      </c>
      <c r="B14" s="21" t="s">
        <v>58</v>
      </c>
      <c r="C14" s="21"/>
      <c r="D14" s="39" t="n">
        <v>16</v>
      </c>
      <c r="E14" s="21" t="s">
        <v>59</v>
      </c>
      <c r="F14" s="40"/>
      <c r="G14" s="14"/>
      <c r="H14" s="41" t="s">
        <v>60</v>
      </c>
      <c r="I14" s="50"/>
      <c r="J14" s="38" t="n">
        <v>1.853184</v>
      </c>
      <c r="K14" s="3"/>
      <c r="L14" s="16" t="s">
        <v>61</v>
      </c>
      <c r="M14" s="3"/>
      <c r="N14" s="3"/>
      <c r="O14" s="3" t="str">
        <f aca="false">CHOOSE(MONTH(J75),O2,O3,O4,O5,O6,O7,O8,O9,O10,O11,O12,O13)</f>
        <v>Diciembre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8" hidden="false" customHeight="true" outlineLevel="0" collapsed="false">
      <c r="A15" s="20" t="n">
        <v>17</v>
      </c>
      <c r="B15" s="21" t="s">
        <v>62</v>
      </c>
      <c r="C15" s="51"/>
      <c r="D15" s="39" t="n">
        <v>18</v>
      </c>
      <c r="E15" s="21" t="s">
        <v>63</v>
      </c>
      <c r="F15" s="40"/>
      <c r="G15" s="14"/>
      <c r="H15" s="41" t="s">
        <v>44</v>
      </c>
      <c r="I15" s="52" t="n">
        <f aca="false">SUM(I17/60,H17)</f>
        <v>0</v>
      </c>
      <c r="J15" s="38" t="s">
        <v>64</v>
      </c>
      <c r="K15" s="3"/>
      <c r="L15" s="16" t="s">
        <v>65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8" hidden="false" customHeight="true" outlineLevel="0" collapsed="false">
      <c r="A16" s="20" t="n">
        <v>19</v>
      </c>
      <c r="B16" s="21" t="s">
        <v>66</v>
      </c>
      <c r="C16" s="21"/>
      <c r="D16" s="39" t="n">
        <v>20</v>
      </c>
      <c r="E16" s="21" t="s">
        <v>67</v>
      </c>
      <c r="F16" s="40"/>
      <c r="G16" s="14"/>
      <c r="H16" s="41" t="s">
        <v>68</v>
      </c>
      <c r="I16" s="53" t="s">
        <v>69</v>
      </c>
      <c r="J16" s="54" t="s">
        <v>70</v>
      </c>
      <c r="K16" s="3"/>
      <c r="L16" s="16" t="s">
        <v>71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8" hidden="false" customHeight="true" outlineLevel="0" collapsed="false">
      <c r="A17" s="20" t="n">
        <v>21</v>
      </c>
      <c r="B17" s="21" t="s">
        <v>72</v>
      </c>
      <c r="C17" s="21"/>
      <c r="D17" s="39" t="n">
        <v>22</v>
      </c>
      <c r="E17" s="21" t="s">
        <v>73</v>
      </c>
      <c r="F17" s="40"/>
      <c r="G17" s="14"/>
      <c r="H17" s="55" t="n">
        <v>0</v>
      </c>
      <c r="I17" s="56" t="n">
        <v>0</v>
      </c>
      <c r="J17" s="57" t="n">
        <v>0</v>
      </c>
      <c r="K17" s="3"/>
      <c r="L17" s="16" t="s">
        <v>74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8" hidden="false" customHeight="true" outlineLevel="0" collapsed="false">
      <c r="A18" s="20" t="n">
        <v>23</v>
      </c>
      <c r="B18" s="21" t="s">
        <v>75</v>
      </c>
      <c r="C18" s="21"/>
      <c r="D18" s="39" t="n">
        <v>24</v>
      </c>
      <c r="E18" s="21" t="s">
        <v>76</v>
      </c>
      <c r="F18" s="40"/>
      <c r="G18" s="14"/>
      <c r="H18" s="58"/>
      <c r="I18" s="58"/>
      <c r="J18" s="58"/>
      <c r="K18" s="3"/>
      <c r="L18" s="16" t="s">
        <v>77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8" hidden="false" customHeight="true" outlineLevel="0" collapsed="false">
      <c r="A19" s="20" t="n">
        <v>25</v>
      </c>
      <c r="B19" s="21" t="s">
        <v>33</v>
      </c>
      <c r="C19" s="21" t="n">
        <f aca="false">I10</f>
        <v>0</v>
      </c>
      <c r="D19" s="39" t="n">
        <v>26</v>
      </c>
      <c r="E19" s="21" t="s">
        <v>78</v>
      </c>
      <c r="F19" s="59"/>
      <c r="G19" s="14"/>
      <c r="H19" s="58"/>
      <c r="I19" s="58"/>
      <c r="J19" s="58"/>
      <c r="K19" s="3"/>
      <c r="L19" s="16" t="s">
        <v>79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8" hidden="false" customHeight="true" outlineLevel="0" collapsed="false">
      <c r="A20" s="27" t="n">
        <v>27</v>
      </c>
      <c r="B20" s="28" t="s">
        <v>80</v>
      </c>
      <c r="C20" s="60"/>
      <c r="D20" s="60"/>
      <c r="E20" s="60"/>
      <c r="F20" s="60"/>
      <c r="G20" s="14"/>
      <c r="H20" s="58"/>
      <c r="I20" s="58"/>
      <c r="J20" s="58"/>
      <c r="K20" s="3"/>
      <c r="L20" s="16" t="s">
        <v>81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24" hidden="false" customHeight="true" outlineLevel="0" collapsed="false">
      <c r="A21" s="30" t="s">
        <v>82</v>
      </c>
      <c r="B21" s="30"/>
      <c r="C21" s="30"/>
      <c r="D21" s="30"/>
      <c r="E21" s="30"/>
      <c r="F21" s="30"/>
      <c r="G21" s="14"/>
      <c r="H21" s="61" t="s">
        <v>83</v>
      </c>
      <c r="I21" s="62" t="s">
        <v>84</v>
      </c>
      <c r="J21" s="63"/>
      <c r="K21" s="3"/>
      <c r="L21" s="16" t="s">
        <v>85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8" hidden="false" customHeight="true" outlineLevel="0" collapsed="false">
      <c r="A22" s="17" t="n">
        <v>28</v>
      </c>
      <c r="B22" s="18" t="s">
        <v>86</v>
      </c>
      <c r="C22" s="64"/>
      <c r="D22" s="34" t="n">
        <v>29</v>
      </c>
      <c r="E22" s="18" t="s">
        <v>87</v>
      </c>
      <c r="F22" s="65"/>
      <c r="G22" s="14"/>
      <c r="H22" s="66"/>
      <c r="I22" s="62"/>
      <c r="J22" s="67"/>
      <c r="K22" s="3"/>
      <c r="L22" s="16" t="s">
        <v>88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8" hidden="false" customHeight="true" outlineLevel="0" collapsed="false">
      <c r="A23" s="20" t="n">
        <v>30</v>
      </c>
      <c r="B23" s="21" t="s">
        <v>89</v>
      </c>
      <c r="C23" s="68"/>
      <c r="D23" s="39" t="n">
        <v>31</v>
      </c>
      <c r="E23" s="21" t="s">
        <v>90</v>
      </c>
      <c r="F23" s="69"/>
      <c r="G23" s="14"/>
      <c r="H23" s="70"/>
      <c r="I23" s="71" t="s">
        <v>91</v>
      </c>
      <c r="J23" s="67"/>
      <c r="K23" s="3"/>
      <c r="L23" s="16" t="s">
        <v>92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8" hidden="false" customHeight="true" outlineLevel="0" collapsed="false">
      <c r="A24" s="20" t="n">
        <v>32</v>
      </c>
      <c r="B24" s="21" t="s">
        <v>93</v>
      </c>
      <c r="C24" s="68"/>
      <c r="D24" s="39" t="n">
        <v>33</v>
      </c>
      <c r="E24" s="21" t="s">
        <v>94</v>
      </c>
      <c r="F24" s="69"/>
      <c r="G24" s="14"/>
      <c r="H24" s="72" t="s">
        <v>44</v>
      </c>
      <c r="I24" s="73" t="n">
        <f aca="false">ROUND(IF(ISBLANK(I25), IF(ISBLANK(I26), IF(ISBLANK(I27), 0, I27*J27), I26*J26), I25),0)</f>
        <v>0</v>
      </c>
      <c r="J24" s="67"/>
      <c r="K24" s="3"/>
      <c r="L24" s="26" t="s">
        <v>95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8" hidden="false" customHeight="true" outlineLevel="0" collapsed="false">
      <c r="A25" s="20" t="n">
        <v>34</v>
      </c>
      <c r="B25" s="21" t="s">
        <v>96</v>
      </c>
      <c r="C25" s="68"/>
      <c r="D25" s="39" t="n">
        <v>35</v>
      </c>
      <c r="E25" s="21" t="s">
        <v>97</v>
      </c>
      <c r="F25" s="69"/>
      <c r="G25" s="14"/>
      <c r="H25" s="72" t="s">
        <v>98</v>
      </c>
      <c r="I25" s="45"/>
      <c r="J25" s="67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8" hidden="false" customHeight="true" outlineLevel="0" collapsed="false">
      <c r="A26" s="20" t="n">
        <v>36</v>
      </c>
      <c r="B26" s="21" t="s">
        <v>99</v>
      </c>
      <c r="C26" s="21"/>
      <c r="D26" s="39" t="n">
        <v>37</v>
      </c>
      <c r="E26" s="21" t="s">
        <v>100</v>
      </c>
      <c r="F26" s="40"/>
      <c r="G26" s="14"/>
      <c r="H26" s="72" t="s">
        <v>101</v>
      </c>
      <c r="I26" s="48"/>
      <c r="J26" s="38" t="n">
        <v>0.7456999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8" hidden="false" customHeight="true" outlineLevel="0" collapsed="false">
      <c r="A27" s="20" t="n">
        <v>38</v>
      </c>
      <c r="B27" s="21" t="s">
        <v>102</v>
      </c>
      <c r="C27" s="21"/>
      <c r="D27" s="39" t="n">
        <v>39</v>
      </c>
      <c r="E27" s="21" t="s">
        <v>103</v>
      </c>
      <c r="F27" s="40"/>
      <c r="G27" s="14"/>
      <c r="H27" s="72" t="s">
        <v>104</v>
      </c>
      <c r="I27" s="50"/>
      <c r="J27" s="38" t="n">
        <v>0.735498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36" hidden="false" customHeight="true" outlineLevel="0" collapsed="false">
      <c r="A28" s="20" t="n">
        <v>40</v>
      </c>
      <c r="B28" s="21" t="s">
        <v>105</v>
      </c>
      <c r="C28" s="21"/>
      <c r="D28" s="39" t="n">
        <v>41</v>
      </c>
      <c r="E28" s="21" t="s">
        <v>106</v>
      </c>
      <c r="F28" s="40"/>
      <c r="G28" s="14"/>
      <c r="H28" s="72" t="s">
        <v>107</v>
      </c>
      <c r="I28" s="74" t="b">
        <v>1</v>
      </c>
      <c r="J28" s="67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36" hidden="false" customHeight="true" outlineLevel="0" collapsed="false">
      <c r="A29" s="20" t="n">
        <v>42</v>
      </c>
      <c r="B29" s="21" t="s">
        <v>108</v>
      </c>
      <c r="C29" s="21"/>
      <c r="D29" s="39" t="n">
        <v>43</v>
      </c>
      <c r="E29" s="21" t="s">
        <v>109</v>
      </c>
      <c r="F29" s="40"/>
      <c r="G29" s="14"/>
      <c r="H29" s="75" t="s">
        <v>110</v>
      </c>
      <c r="I29" s="75"/>
      <c r="J29" s="75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36" hidden="false" customHeight="true" outlineLevel="0" collapsed="false">
      <c r="A30" s="20" t="n">
        <v>44</v>
      </c>
      <c r="B30" s="21" t="s">
        <v>111</v>
      </c>
      <c r="C30" s="21"/>
      <c r="D30" s="39" t="n">
        <v>45</v>
      </c>
      <c r="E30" s="21" t="s">
        <v>112</v>
      </c>
      <c r="F30" s="76" t="str">
        <f aca="false">IF(I28,"NO CORRESPONDE",I24*1000/(F26+IF(ISNUMBER(C31),C31*1000,0)))</f>
        <v>NO CORRESPONDE</v>
      </c>
      <c r="G30" s="14"/>
      <c r="H30" s="14"/>
      <c r="I30" s="75"/>
      <c r="J30" s="75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8" hidden="false" customHeight="true" outlineLevel="0" collapsed="false">
      <c r="A31" s="27" t="n">
        <v>46</v>
      </c>
      <c r="B31" s="28" t="s">
        <v>113</v>
      </c>
      <c r="C31" s="28"/>
      <c r="D31" s="77"/>
      <c r="E31" s="77"/>
      <c r="F31" s="77"/>
      <c r="G31" s="14"/>
      <c r="H31" s="14"/>
      <c r="I31" s="75"/>
      <c r="J31" s="75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24" hidden="false" customHeight="true" outlineLevel="0" collapsed="false">
      <c r="A32" s="30" t="s">
        <v>114</v>
      </c>
      <c r="B32" s="30"/>
      <c r="C32" s="30"/>
      <c r="D32" s="30"/>
      <c r="E32" s="30"/>
      <c r="F32" s="30"/>
      <c r="G32" s="14"/>
      <c r="H32" s="14"/>
      <c r="I32" s="75"/>
      <c r="J32" s="75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8" hidden="false" customHeight="true" outlineLevel="0" collapsed="false">
      <c r="A33" s="17" t="n">
        <v>47</v>
      </c>
      <c r="B33" s="18" t="s">
        <v>115</v>
      </c>
      <c r="C33" s="78"/>
      <c r="D33" s="78"/>
      <c r="E33" s="78"/>
      <c r="F33" s="78"/>
      <c r="G33" s="14"/>
      <c r="H33" s="14"/>
      <c r="I33" s="75"/>
      <c r="J33" s="75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8" hidden="false" customHeight="true" outlineLevel="0" collapsed="false">
      <c r="A34" s="20" t="n">
        <v>48</v>
      </c>
      <c r="B34" s="21" t="s">
        <v>116</v>
      </c>
      <c r="C34" s="40"/>
      <c r="D34" s="40"/>
      <c r="E34" s="40"/>
      <c r="F34" s="40"/>
      <c r="G34" s="14"/>
      <c r="H34" s="14"/>
      <c r="I34" s="75"/>
      <c r="J34" s="75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8" hidden="false" customHeight="true" outlineLevel="0" collapsed="false">
      <c r="A35" s="20" t="n">
        <v>49</v>
      </c>
      <c r="B35" s="21" t="s">
        <v>117</v>
      </c>
      <c r="C35" s="21"/>
      <c r="D35" s="39" t="n">
        <v>50</v>
      </c>
      <c r="E35" s="21" t="s">
        <v>118</v>
      </c>
      <c r="F35" s="40"/>
      <c r="G35" s="14"/>
      <c r="H35" s="14"/>
      <c r="I35" s="75"/>
      <c r="J35" s="75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8" hidden="false" customHeight="true" outlineLevel="0" collapsed="false">
      <c r="A36" s="20" t="n">
        <v>51</v>
      </c>
      <c r="B36" s="21" t="s">
        <v>119</v>
      </c>
      <c r="C36" s="21"/>
      <c r="D36" s="39" t="n">
        <v>52</v>
      </c>
      <c r="E36" s="21" t="s">
        <v>120</v>
      </c>
      <c r="F36" s="40"/>
      <c r="G36" s="14"/>
      <c r="H36" s="79"/>
      <c r="I36" s="79"/>
      <c r="J36" s="79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8" hidden="false" customHeight="true" outlineLevel="0" collapsed="false">
      <c r="A37" s="20" t="n">
        <v>53</v>
      </c>
      <c r="B37" s="21" t="s">
        <v>121</v>
      </c>
      <c r="C37" s="40"/>
      <c r="D37" s="40"/>
      <c r="E37" s="40"/>
      <c r="F37" s="40"/>
      <c r="G37" s="14"/>
      <c r="H37" s="58"/>
      <c r="I37" s="58"/>
      <c r="J37" s="58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8" hidden="false" customHeight="true" outlineLevel="0" collapsed="false">
      <c r="A38" s="20" t="n">
        <v>54</v>
      </c>
      <c r="B38" s="21" t="s">
        <v>122</v>
      </c>
      <c r="C38" s="80"/>
      <c r="D38" s="80"/>
      <c r="E38" s="80"/>
      <c r="F38" s="80"/>
      <c r="G38" s="14"/>
      <c r="H38" s="58"/>
      <c r="I38" s="58"/>
      <c r="J38" s="58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8" hidden="false" customHeight="true" outlineLevel="0" collapsed="false">
      <c r="A39" s="20" t="n">
        <v>55</v>
      </c>
      <c r="B39" s="21" t="s">
        <v>123</v>
      </c>
      <c r="C39" s="21"/>
      <c r="D39" s="39" t="n">
        <v>56</v>
      </c>
      <c r="E39" s="21" t="s">
        <v>124</v>
      </c>
      <c r="F39" s="40"/>
      <c r="G39" s="14"/>
      <c r="H39" s="58"/>
      <c r="I39" s="58"/>
      <c r="J39" s="58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8" hidden="false" customHeight="true" outlineLevel="0" collapsed="false">
      <c r="A40" s="20" t="n">
        <v>57</v>
      </c>
      <c r="B40" s="21" t="s">
        <v>125</v>
      </c>
      <c r="C40" s="21"/>
      <c r="D40" s="39" t="n">
        <v>58</v>
      </c>
      <c r="E40" s="21" t="s">
        <v>126</v>
      </c>
      <c r="F40" s="40"/>
      <c r="G40" s="14"/>
      <c r="H40" s="58"/>
      <c r="I40" s="58"/>
      <c r="J40" s="58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36" hidden="false" customHeight="true" outlineLevel="0" collapsed="false">
      <c r="A41" s="20" t="n">
        <v>59</v>
      </c>
      <c r="B41" s="21" t="s">
        <v>127</v>
      </c>
      <c r="C41" s="81"/>
      <c r="D41" s="39" t="n">
        <v>60</v>
      </c>
      <c r="E41" s="21" t="s">
        <v>128</v>
      </c>
      <c r="F41" s="40"/>
      <c r="G41" s="14"/>
      <c r="H41" s="58"/>
      <c r="I41" s="58"/>
      <c r="J41" s="58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36" hidden="false" customHeight="true" outlineLevel="0" collapsed="false">
      <c r="A42" s="27" t="n">
        <v>61</v>
      </c>
      <c r="B42" s="28" t="s">
        <v>129</v>
      </c>
      <c r="C42" s="82" t="str">
        <f aca="false">IF(ISNUMBER(I43),ROUND(I43,0),I43)</f>
        <v>NO CORRESPONDE</v>
      </c>
      <c r="D42" s="83" t="n">
        <v>62</v>
      </c>
      <c r="E42" s="28" t="s">
        <v>130</v>
      </c>
      <c r="F42" s="84"/>
      <c r="G42" s="14"/>
      <c r="H42" s="85" t="s">
        <v>131</v>
      </c>
      <c r="I42" s="85"/>
      <c r="J42" s="86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24" hidden="false" customHeight="true" outlineLevel="0" collapsed="false">
      <c r="A43" s="30" t="s">
        <v>132</v>
      </c>
      <c r="B43" s="30"/>
      <c r="C43" s="30"/>
      <c r="D43" s="30"/>
      <c r="E43" s="30"/>
      <c r="F43" s="30"/>
      <c r="G43" s="14"/>
      <c r="H43" s="72" t="s">
        <v>44</v>
      </c>
      <c r="I43" s="87" t="str">
        <f aca="false">IF(ISBLANK(I44), IF(ISBLANK(I45), IF(ISBLANK(I46), "NO CORRESPONDE", I46*J46), I45*J45), I44)</f>
        <v>NO CORRESPONDE</v>
      </c>
      <c r="J43" s="86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8" hidden="false" customHeight="true" outlineLevel="0" collapsed="false">
      <c r="A44" s="17" t="n">
        <v>63</v>
      </c>
      <c r="B44" s="18" t="s">
        <v>133</v>
      </c>
      <c r="C44" s="18"/>
      <c r="D44" s="34" t="n">
        <v>64</v>
      </c>
      <c r="E44" s="18" t="s">
        <v>134</v>
      </c>
      <c r="F44" s="35"/>
      <c r="G44" s="14"/>
      <c r="H44" s="72" t="s">
        <v>135</v>
      </c>
      <c r="I44" s="45"/>
      <c r="J44" s="86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8" hidden="false" customHeight="true" outlineLevel="0" collapsed="false">
      <c r="A45" s="20" t="n">
        <v>65</v>
      </c>
      <c r="B45" s="21" t="s">
        <v>136</v>
      </c>
      <c r="C45" s="21"/>
      <c r="D45" s="39" t="n">
        <v>66</v>
      </c>
      <c r="E45" s="21" t="s">
        <v>137</v>
      </c>
      <c r="F45" s="40"/>
      <c r="G45" s="14"/>
      <c r="H45" s="72" t="s">
        <v>138</v>
      </c>
      <c r="I45" s="48"/>
      <c r="J45" s="38" t="n">
        <v>3.785412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8" hidden="false" customHeight="true" outlineLevel="0" collapsed="false">
      <c r="A46" s="20" t="n">
        <v>67</v>
      </c>
      <c r="B46" s="21" t="s">
        <v>139</v>
      </c>
      <c r="C46" s="21" t="n">
        <f aca="false">I49</f>
        <v>0</v>
      </c>
      <c r="D46" s="39" t="n">
        <v>68</v>
      </c>
      <c r="E46" s="21" t="s">
        <v>140</v>
      </c>
      <c r="F46" s="40"/>
      <c r="G46" s="14"/>
      <c r="H46" s="88" t="s">
        <v>141</v>
      </c>
      <c r="I46" s="89"/>
      <c r="J46" s="90" t="n">
        <v>4.546092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8" hidden="false" customHeight="true" outlineLevel="0" collapsed="false">
      <c r="A47" s="20" t="n">
        <v>69</v>
      </c>
      <c r="B47" s="21" t="s">
        <v>142</v>
      </c>
      <c r="C47" s="21"/>
      <c r="D47" s="39" t="n">
        <v>70</v>
      </c>
      <c r="E47" s="21" t="s">
        <v>143</v>
      </c>
      <c r="F47" s="40" t="str">
        <f aca="false">IF(ISNUMBER(H22), I24 &amp; " kW. @ " &amp; H22 &amp; " rpm", "NO CORRESPONDE")</f>
        <v>NO CORRESPONDE</v>
      </c>
      <c r="G47" s="14"/>
      <c r="H47" s="91"/>
      <c r="I47" s="91"/>
      <c r="J47" s="91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8" hidden="false" customHeight="true" outlineLevel="0" collapsed="false">
      <c r="A48" s="92" t="n">
        <v>71</v>
      </c>
      <c r="B48" s="93" t="s">
        <v>144</v>
      </c>
      <c r="C48" s="93"/>
      <c r="D48" s="94" t="n">
        <v>72</v>
      </c>
      <c r="E48" s="95" t="s">
        <v>145</v>
      </c>
      <c r="F48" s="60"/>
      <c r="G48" s="14"/>
      <c r="H48" s="61" t="s">
        <v>146</v>
      </c>
      <c r="I48" s="96"/>
      <c r="J48" s="97" t="b"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24" hidden="false" customHeight="true" outlineLevel="0" collapsed="false">
      <c r="A49" s="30" t="s">
        <v>147</v>
      </c>
      <c r="B49" s="30"/>
      <c r="C49" s="30"/>
      <c r="D49" s="30"/>
      <c r="E49" s="30"/>
      <c r="F49" s="30"/>
      <c r="G49" s="14"/>
      <c r="H49" s="72" t="s">
        <v>44</v>
      </c>
      <c r="I49" s="87" t="n">
        <f aca="false">IF(J48, "NO CORRESPONDE", SUM(J50:J52))</f>
        <v>0</v>
      </c>
      <c r="J49" s="38" t="s">
        <v>148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8" hidden="false" customHeight="true" outlineLevel="0" collapsed="false">
      <c r="A50" s="17" t="n">
        <v>73</v>
      </c>
      <c r="B50" s="18" t="s">
        <v>149</v>
      </c>
      <c r="C50" s="18"/>
      <c r="D50" s="98" t="n">
        <v>74</v>
      </c>
      <c r="E50" s="98" t="s">
        <v>150</v>
      </c>
      <c r="F50" s="35"/>
      <c r="G50" s="14"/>
      <c r="H50" s="72" t="s">
        <v>151</v>
      </c>
      <c r="I50" s="45"/>
      <c r="J50" s="38" t="n">
        <f aca="false">I50*1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8" hidden="false" customHeight="true" outlineLevel="0" collapsed="false">
      <c r="A51" s="20" t="n">
        <v>75</v>
      </c>
      <c r="B51" s="21" t="s">
        <v>152</v>
      </c>
      <c r="C51" s="21"/>
      <c r="D51" s="39" t="n">
        <v>76</v>
      </c>
      <c r="E51" s="21" t="s">
        <v>153</v>
      </c>
      <c r="F51" s="99"/>
      <c r="G51" s="14"/>
      <c r="H51" s="72" t="s">
        <v>154</v>
      </c>
      <c r="I51" s="48"/>
      <c r="J51" s="38" t="n">
        <f aca="false">I51*1000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8" hidden="false" customHeight="true" outlineLevel="0" collapsed="false">
      <c r="A52" s="20" t="n">
        <v>77</v>
      </c>
      <c r="B52" s="21" t="s">
        <v>155</v>
      </c>
      <c r="C52" s="100"/>
      <c r="D52" s="39" t="n">
        <v>78</v>
      </c>
      <c r="E52" s="21" t="s">
        <v>156</v>
      </c>
      <c r="F52" s="99" t="str">
        <f aca="false">IF(AND(ISNUMBER(F51), ISNUMBER(C52)), SUM(F51,C52), "NO CORRESPONDE")</f>
        <v>NO CORRESPONDE</v>
      </c>
      <c r="G52" s="14"/>
      <c r="H52" s="88" t="s">
        <v>157</v>
      </c>
      <c r="I52" s="50"/>
      <c r="J52" s="90" t="n">
        <f aca="false">I52*16.3871</f>
        <v>0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8" hidden="false" customHeight="true" outlineLevel="0" collapsed="false">
      <c r="A53" s="20" t="n">
        <v>79</v>
      </c>
      <c r="B53" s="21" t="s">
        <v>158</v>
      </c>
      <c r="C53" s="100"/>
      <c r="D53" s="39" t="n">
        <v>80</v>
      </c>
      <c r="E53" s="21" t="s">
        <v>159</v>
      </c>
      <c r="F53" s="76"/>
      <c r="G53" s="14"/>
      <c r="H53" s="101"/>
      <c r="I53" s="101"/>
      <c r="J53" s="101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8" hidden="false" customHeight="true" outlineLevel="0" collapsed="false">
      <c r="A54" s="27" t="n">
        <v>81</v>
      </c>
      <c r="B54" s="28" t="s">
        <v>160</v>
      </c>
      <c r="C54" s="60"/>
      <c r="D54" s="60"/>
      <c r="E54" s="60"/>
      <c r="F54" s="60"/>
      <c r="G54" s="14"/>
      <c r="H54" s="101"/>
      <c r="I54" s="101"/>
      <c r="J54" s="101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24" hidden="false" customHeight="true" outlineLevel="0" collapsed="false">
      <c r="A55" s="30" t="s">
        <v>161</v>
      </c>
      <c r="B55" s="30"/>
      <c r="C55" s="30"/>
      <c r="D55" s="30"/>
      <c r="E55" s="30"/>
      <c r="F55" s="30"/>
      <c r="G55" s="14"/>
      <c r="H55" s="101"/>
      <c r="I55" s="101"/>
      <c r="J55" s="101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8" hidden="false" customHeight="true" outlineLevel="0" collapsed="false">
      <c r="A56" s="17" t="n">
        <v>82</v>
      </c>
      <c r="B56" s="18" t="s">
        <v>162</v>
      </c>
      <c r="C56" s="18"/>
      <c r="D56" s="34" t="n">
        <v>83</v>
      </c>
      <c r="E56" s="18" t="s">
        <v>163</v>
      </c>
      <c r="F56" s="35"/>
      <c r="G56" s="14"/>
      <c r="H56" s="101"/>
      <c r="I56" s="101"/>
      <c r="J56" s="101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8" hidden="false" customHeight="true" outlineLevel="0" collapsed="false">
      <c r="A57" s="27" t="n">
        <v>84</v>
      </c>
      <c r="B57" s="28" t="s">
        <v>164</v>
      </c>
      <c r="C57" s="28"/>
      <c r="D57" s="83" t="n">
        <v>85</v>
      </c>
      <c r="E57" s="28" t="s">
        <v>165</v>
      </c>
      <c r="F57" s="84"/>
      <c r="G57" s="14"/>
      <c r="H57" s="101"/>
      <c r="I57" s="101"/>
      <c r="J57" s="101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24" hidden="false" customHeight="true" outlineLevel="0" collapsed="false">
      <c r="A58" s="30" t="s">
        <v>166</v>
      </c>
      <c r="B58" s="30"/>
      <c r="C58" s="30"/>
      <c r="D58" s="30"/>
      <c r="E58" s="30"/>
      <c r="F58" s="30"/>
      <c r="G58" s="14"/>
      <c r="H58" s="101"/>
      <c r="I58" s="101"/>
      <c r="J58" s="101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8" hidden="false" customHeight="true" outlineLevel="0" collapsed="false">
      <c r="A59" s="17" t="n">
        <v>86</v>
      </c>
      <c r="B59" s="18" t="s">
        <v>167</v>
      </c>
      <c r="C59" s="78"/>
      <c r="D59" s="78"/>
      <c r="E59" s="78"/>
      <c r="F59" s="78"/>
      <c r="G59" s="14"/>
      <c r="H59" s="101"/>
      <c r="I59" s="101"/>
      <c r="J59" s="101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27" hidden="false" customHeight="true" outlineLevel="0" collapsed="false">
      <c r="A60" s="20" t="n">
        <v>87</v>
      </c>
      <c r="B60" s="21" t="s">
        <v>168</v>
      </c>
      <c r="C60" s="21"/>
      <c r="D60" s="39" t="n">
        <v>88</v>
      </c>
      <c r="E60" s="21" t="s">
        <v>169</v>
      </c>
      <c r="F60" s="40"/>
      <c r="G60" s="14"/>
      <c r="H60" s="101"/>
      <c r="I60" s="101"/>
      <c r="J60" s="101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8" hidden="false" customHeight="true" outlineLevel="0" collapsed="false">
      <c r="A61" s="20" t="n">
        <v>89</v>
      </c>
      <c r="B61" s="21" t="s">
        <v>170</v>
      </c>
      <c r="C61" s="21"/>
      <c r="D61" s="39" t="n">
        <v>90</v>
      </c>
      <c r="E61" s="21" t="s">
        <v>171</v>
      </c>
      <c r="F61" s="40"/>
      <c r="G61" s="14"/>
      <c r="H61" s="101"/>
      <c r="I61" s="101"/>
      <c r="J61" s="101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8" hidden="false" customHeight="true" outlineLevel="0" collapsed="false">
      <c r="A62" s="20" t="n">
        <v>91</v>
      </c>
      <c r="B62" s="21" t="s">
        <v>172</v>
      </c>
      <c r="C62" s="21"/>
      <c r="D62" s="39" t="n">
        <v>92</v>
      </c>
      <c r="E62" s="21" t="s">
        <v>173</v>
      </c>
      <c r="F62" s="40"/>
      <c r="G62" s="14"/>
      <c r="H62" s="101"/>
      <c r="I62" s="101"/>
      <c r="J62" s="101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8" hidden="false" customHeight="true" outlineLevel="0" collapsed="false">
      <c r="A63" s="20" t="n">
        <v>93</v>
      </c>
      <c r="B63" s="21" t="s">
        <v>174</v>
      </c>
      <c r="C63" s="21"/>
      <c r="D63" s="39" t="n">
        <v>94</v>
      </c>
      <c r="E63" s="21" t="s">
        <v>175</v>
      </c>
      <c r="F63" s="40"/>
      <c r="G63" s="14"/>
      <c r="H63" s="101"/>
      <c r="I63" s="101"/>
      <c r="J63" s="101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8" hidden="false" customHeight="true" outlineLevel="0" collapsed="false">
      <c r="A64" s="20" t="n">
        <v>95</v>
      </c>
      <c r="B64" s="21" t="s">
        <v>176</v>
      </c>
      <c r="C64" s="21"/>
      <c r="D64" s="39" t="n">
        <v>96</v>
      </c>
      <c r="E64" s="21" t="s">
        <v>177</v>
      </c>
      <c r="F64" s="40"/>
      <c r="G64" s="14"/>
      <c r="H64" s="101"/>
      <c r="I64" s="101"/>
      <c r="J64" s="101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8" hidden="false" customHeight="true" outlineLevel="0" collapsed="false">
      <c r="A65" s="27" t="n">
        <v>97</v>
      </c>
      <c r="B65" s="28" t="s">
        <v>178</v>
      </c>
      <c r="C65" s="60"/>
      <c r="D65" s="60"/>
      <c r="E65" s="60"/>
      <c r="F65" s="60"/>
      <c r="G65" s="14"/>
      <c r="H65" s="101"/>
      <c r="I65" s="101"/>
      <c r="J65" s="101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24" hidden="false" customHeight="true" outlineLevel="0" collapsed="false">
      <c r="A66" s="30" t="s">
        <v>179</v>
      </c>
      <c r="B66" s="30"/>
      <c r="C66" s="30"/>
      <c r="D66" s="30"/>
      <c r="E66" s="30"/>
      <c r="F66" s="30"/>
      <c r="G66" s="14"/>
      <c r="H66" s="101"/>
      <c r="I66" s="101"/>
      <c r="J66" s="101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2.75" hidden="false" customHeight="true" outlineLevel="0" collapsed="false">
      <c r="A67" s="17" t="n">
        <v>98</v>
      </c>
      <c r="B67" s="18" t="s">
        <v>180</v>
      </c>
      <c r="C67" s="18" t="s">
        <v>181</v>
      </c>
      <c r="D67" s="34" t="n">
        <v>99</v>
      </c>
      <c r="E67" s="18" t="s">
        <v>182</v>
      </c>
      <c r="F67" s="35" t="s">
        <v>181</v>
      </c>
      <c r="G67" s="14"/>
      <c r="H67" s="101"/>
      <c r="I67" s="101"/>
      <c r="J67" s="101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2.75" hidden="false" customHeight="true" outlineLevel="0" collapsed="false">
      <c r="A68" s="20" t="n">
        <v>100</v>
      </c>
      <c r="B68" s="21" t="s">
        <v>183</v>
      </c>
      <c r="C68" s="21" t="s">
        <v>181</v>
      </c>
      <c r="D68" s="39" t="n">
        <v>101</v>
      </c>
      <c r="E68" s="21" t="s">
        <v>184</v>
      </c>
      <c r="F68" s="40" t="s">
        <v>181</v>
      </c>
      <c r="G68" s="14"/>
      <c r="H68" s="101"/>
      <c r="I68" s="101"/>
      <c r="J68" s="101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2.75" hidden="false" customHeight="true" outlineLevel="0" collapsed="false">
      <c r="A69" s="20" t="n">
        <v>102</v>
      </c>
      <c r="B69" s="21" t="s">
        <v>185</v>
      </c>
      <c r="C69" s="102" t="s">
        <v>181</v>
      </c>
      <c r="D69" s="102"/>
      <c r="E69" s="102"/>
      <c r="F69" s="102"/>
      <c r="G69" s="14"/>
      <c r="H69" s="101"/>
      <c r="I69" s="101"/>
      <c r="J69" s="101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50.25" hidden="false" customHeight="true" outlineLevel="0" collapsed="false">
      <c r="A70" s="27" t="n">
        <v>103</v>
      </c>
      <c r="B70" s="28" t="s">
        <v>186</v>
      </c>
      <c r="C70" s="103" t="s">
        <v>181</v>
      </c>
      <c r="D70" s="103"/>
      <c r="E70" s="103"/>
      <c r="F70" s="103"/>
      <c r="G70" s="14"/>
      <c r="H70" s="101"/>
      <c r="I70" s="101"/>
      <c r="J70" s="101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24" hidden="false" customHeight="true" outlineLevel="0" collapsed="false">
      <c r="A71" s="30" t="s">
        <v>187</v>
      </c>
      <c r="B71" s="30"/>
      <c r="C71" s="30"/>
      <c r="D71" s="30"/>
      <c r="E71" s="30"/>
      <c r="F71" s="30"/>
      <c r="G71" s="14"/>
      <c r="H71" s="101"/>
      <c r="I71" s="101"/>
      <c r="J71" s="101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30" hidden="false" customHeight="true" outlineLevel="0" collapsed="false">
      <c r="A72" s="104" t="s">
        <v>188</v>
      </c>
      <c r="B72" s="104"/>
      <c r="C72" s="104"/>
      <c r="D72" s="104"/>
      <c r="E72" s="104"/>
      <c r="F72" s="104"/>
      <c r="G72" s="14"/>
      <c r="H72" s="101"/>
      <c r="I72" s="101"/>
      <c r="J72" s="101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90.5" hidden="false" customHeight="true" outlineLevel="0" collapsed="false">
      <c r="A73" s="20" t="n">
        <v>104</v>
      </c>
      <c r="B73" s="105" t="s">
        <v>189</v>
      </c>
      <c r="C73" s="102"/>
      <c r="D73" s="102"/>
      <c r="E73" s="102"/>
      <c r="F73" s="102"/>
      <c r="G73" s="14"/>
      <c r="H73" s="101"/>
      <c r="I73" s="101"/>
      <c r="J73" s="101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225" hidden="false" customHeight="true" outlineLevel="0" collapsed="false">
      <c r="A74" s="27" t="n">
        <v>105</v>
      </c>
      <c r="B74" s="106" t="s">
        <v>190</v>
      </c>
      <c r="C74" s="77"/>
      <c r="D74" s="77"/>
      <c r="E74" s="77"/>
      <c r="F74" s="77"/>
      <c r="G74" s="14"/>
      <c r="H74" s="101"/>
      <c r="I74" s="101"/>
      <c r="J74" s="101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8" hidden="false" customHeight="true" outlineLevel="0" collapsed="false">
      <c r="A75" s="5" t="n">
        <v>106</v>
      </c>
      <c r="B75" s="6" t="s">
        <v>191</v>
      </c>
      <c r="C75" s="107" t="str">
        <f aca="false">CONCATENATE(H75, ", ", TEXT(DAY(J75), "00"), " de ", O14, " de ", TEXT(YEAR(J75), "0000"), ".")</f>
        <v>, 30 de Diciembre de 1899.</v>
      </c>
      <c r="D75" s="107"/>
      <c r="E75" s="107"/>
      <c r="F75" s="107"/>
      <c r="G75" s="108" t="s">
        <v>192</v>
      </c>
      <c r="H75" s="109"/>
      <c r="I75" s="110" t="s">
        <v>193</v>
      </c>
      <c r="J75" s="111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true" outlineLevel="0" collapsed="false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customFormat="false" ht="12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2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2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2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2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2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2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2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2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2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2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2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2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2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2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2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2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2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2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2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2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2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2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2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2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2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2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2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2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2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2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2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2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2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2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2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2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2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2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2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2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2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2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2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2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2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2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2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2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2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2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2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2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2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2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2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2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2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2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2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2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2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2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2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2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2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2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2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2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2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2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2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2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2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2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2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2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2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2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2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2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2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2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2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2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2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2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2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2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2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2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2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2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2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2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2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2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2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2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2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2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2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2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2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2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2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2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2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2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2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2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2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2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2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2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2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2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2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2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2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2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2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2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2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2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2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2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2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2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2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2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2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2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2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2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2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2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2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2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2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2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2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2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2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2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2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2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2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2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2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2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2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2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2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2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2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2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2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2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2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2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2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2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2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2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2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2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2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2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2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2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2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2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2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2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2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2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2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2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2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2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2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2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2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2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2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2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2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2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2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2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2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2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2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2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2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2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2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2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2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2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2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2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2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2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2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2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2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2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2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2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2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2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2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2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2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2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2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2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2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2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2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2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2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2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2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2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2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2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2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2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2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2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2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2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2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2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2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2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2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2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2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2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2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2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2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2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2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2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2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2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2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2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2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2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2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2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2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2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2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2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2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2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2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2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2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2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2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2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2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2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2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2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2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2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2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2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2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2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2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2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2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2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2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2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2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2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2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2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2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2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2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2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2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2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2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2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2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2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2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2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2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2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2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2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2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2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2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2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2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2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2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2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2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2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2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2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2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2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2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2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2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2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2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2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2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2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2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2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2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2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2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2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2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2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2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2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2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2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2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2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2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2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2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2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2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2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2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2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2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2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2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2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2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2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2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2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2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2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2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2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2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2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2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2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2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2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2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2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2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2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2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2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2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2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2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2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2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2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2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2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2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2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2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2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2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2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2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2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2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2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2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2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2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2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2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2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2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2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2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2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2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2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2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2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2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2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2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2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2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2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2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2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2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2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2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2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2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2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2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2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2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2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2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2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2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2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2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2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2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2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2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2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2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2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2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2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2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2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2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2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2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2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2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2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2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2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2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2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2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2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2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2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2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2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2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2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2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2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2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2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2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2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2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2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2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2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2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2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2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2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2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2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2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2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2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2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2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2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2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2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2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2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2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2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2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2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2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2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2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2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2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2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2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2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2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2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2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2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2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2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2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2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2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2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2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2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2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2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2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2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2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2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2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2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2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2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2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2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2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2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2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2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2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2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2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2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2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2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2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2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2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2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2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2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2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2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2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2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2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2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2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2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2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2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2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2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2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2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2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2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2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2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2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2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2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2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2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2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2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2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2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2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2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2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2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2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2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2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2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2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2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2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2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2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2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2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2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2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2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2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2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2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2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2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2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2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2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2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2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2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2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2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2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2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2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2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2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2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2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2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2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2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2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2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2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2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2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2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2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2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2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2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2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2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2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2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2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2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2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2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2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2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2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2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2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2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2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2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2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2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2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2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2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2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2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2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2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2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2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2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2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2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2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2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2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2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2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2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2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2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2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2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2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2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2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2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2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2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2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2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2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2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2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2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2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2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2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2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2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2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2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2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2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2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2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2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2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2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2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2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2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2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2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2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2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2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2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2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2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2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2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2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2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2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2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2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2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2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2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2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2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2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2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2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2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2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2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2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2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2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2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2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2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2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2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2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2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2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2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2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2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2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2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2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2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2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2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2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2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2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2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2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2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2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2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2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2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2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2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2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2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2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2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2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2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2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2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2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2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2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2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2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2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2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2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2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2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2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2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2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2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2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2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2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2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2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2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2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2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2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2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2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2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2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2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2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2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2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2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2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2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2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2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2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2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2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2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2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2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2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2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2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2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2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2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2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2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2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2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2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2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2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2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2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2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2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2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2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2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2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2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2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2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2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2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2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2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2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2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2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2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2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2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2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2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2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2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2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2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2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2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2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2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2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2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2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2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2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2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2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2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2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2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2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2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2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2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2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2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2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2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2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2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2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2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2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2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2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2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2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2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2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2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2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2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2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2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2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2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2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2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2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2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2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2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2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2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2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2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2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2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2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2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2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2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2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2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2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2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2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2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2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2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2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2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2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2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2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2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2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2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2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2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2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2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2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2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2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2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2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2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2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2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2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2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2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2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2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2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2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2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2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2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1">
    <mergeCell ref="A1:F1"/>
    <mergeCell ref="G1:J2"/>
    <mergeCell ref="D2:E2"/>
    <mergeCell ref="A3:F3"/>
    <mergeCell ref="G3:G74"/>
    <mergeCell ref="H3:J5"/>
    <mergeCell ref="B4:C4"/>
    <mergeCell ref="D4:F4"/>
    <mergeCell ref="B5:C5"/>
    <mergeCell ref="D5:F5"/>
    <mergeCell ref="B6:C6"/>
    <mergeCell ref="D6:F6"/>
    <mergeCell ref="I6:J6"/>
    <mergeCell ref="B7:C7"/>
    <mergeCell ref="D7:F7"/>
    <mergeCell ref="H7:J8"/>
    <mergeCell ref="B8:C8"/>
    <mergeCell ref="D8:F8"/>
    <mergeCell ref="A9:F9"/>
    <mergeCell ref="H18:J20"/>
    <mergeCell ref="C20:F20"/>
    <mergeCell ref="A21:F21"/>
    <mergeCell ref="I21:I22"/>
    <mergeCell ref="H29:J35"/>
    <mergeCell ref="D31:F31"/>
    <mergeCell ref="A32:F32"/>
    <mergeCell ref="C33:F33"/>
    <mergeCell ref="C34:F34"/>
    <mergeCell ref="H36:J36"/>
    <mergeCell ref="C37:F37"/>
    <mergeCell ref="H37:J41"/>
    <mergeCell ref="C38:F38"/>
    <mergeCell ref="H42:I42"/>
    <mergeCell ref="J42:J44"/>
    <mergeCell ref="A43:F43"/>
    <mergeCell ref="A49:F49"/>
    <mergeCell ref="H53:J74"/>
    <mergeCell ref="C54:F54"/>
    <mergeCell ref="A55:F55"/>
    <mergeCell ref="A58:F58"/>
    <mergeCell ref="C59:F59"/>
    <mergeCell ref="C65:F65"/>
    <mergeCell ref="A66:F66"/>
    <mergeCell ref="C69:F69"/>
    <mergeCell ref="C70:F70"/>
    <mergeCell ref="A71:F71"/>
    <mergeCell ref="A72:F72"/>
    <mergeCell ref="C73:F73"/>
    <mergeCell ref="C74:F74"/>
    <mergeCell ref="C75:F75"/>
    <mergeCell ref="A76:J76"/>
  </mergeCells>
  <dataValidations count="6">
    <dataValidation allowBlank="true" errorStyle="stop" operator="equal" prompt="Combustible Inválido - Ingrese uno de los valores de la Tabla V: Tipos de Combustible o Fuente de Energía de la Estandarización de Características Registrables Vehiculares." showDropDown="false" showErrorMessage="true" showInputMessage="true" sqref="F15" type="list">
      <formula1>$L$3:$L$24</formula1>
      <formula2>0</formula2>
    </dataValidation>
    <dataValidation allowBlank="true" errorStyle="stop" operator="equal" prompt="Dato Inválido - Seleccione una de las posibles ubicaciones de la lista desplegable." showDropDown="false" showErrorMessage="true" showInputMessage="true" sqref="C44" type="list">
      <formula1>"NO CORRESPONDE,DELANTERO,CENTRAL,POSTERIOR"</formula1>
      <formula2>0</formula2>
    </dataValidation>
    <dataValidation allowBlank="true" errorStyle="stop" operator="equal" prompt="Valor Inválido - Seleccione una posible posición de la lista desplegable." showDropDown="false" showErrorMessage="true" showInputMessage="true" sqref="F44" type="list">
      <formula1>"NO CORRESPONDE,TRANSVERSAL,LONGITUDINAL"</formula1>
      <formula2>0</formula2>
    </dataValidation>
    <dataValidation allowBlank="true" errorStyle="stop" operator="equal" prompt="Valor Inválido - Selecciona una configuración posible de la lista desplegable." showDropDown="false" showErrorMessage="true" showInputMessage="true" sqref="F45" type="list">
      <formula1>"NO CORRESPONDE,EN LÍNEA,EN V,EN V 90º,OPUESTOS HORIZONTALMENTE"</formula1>
      <formula2>0</formula2>
    </dataValidation>
    <dataValidation allowBlank="true" errorStyle="stop" operator="equal" prompt="Valor Inválido - Seleccione un valor de la lista despegable que corresponda a la Tabla IV del a estandarización vehicular." showDropDown="false" showErrorMessage="true" showInputMessage="true" sqref="F56" type="list">
      <formula1>$M$3:$M$8</formula1>
      <formula2>0</formula2>
    </dataValidation>
    <dataValidation allowBlank="true" errorStyle="stop" operator="equal" prompt="Selección - Debe seleccionar uno de los valores definidos para esta celda." showDropDown="false" showErrorMessage="true" showInputMessage="true" sqref="H75" type="list">
      <formula1>"Lima,Callao,Paita,Piura,Tumbes,Salaverry,Trujillo,Pisco,Moquegua,Matarini,Ilo,Mollendo,Tacna,Puerto Maldonado,Iñapari,Pucallpa,Iquitos,Puno"</formula1>
      <formula2>0</formula2>
    </dataValidation>
  </dataValidations>
  <printOptions headings="false" gridLines="false" gridLinesSet="true" horizontalCentered="true" verticalCentered="true"/>
  <pageMargins left="0.511805555555556" right="0.196527777777778" top="1.18125" bottom="0.39375" header="0" footer="0"/>
  <pageSetup paperSize="9" scale="75" fitToWidth="1" fitToHeight="1" pageOrder="downThenOver" orientation="portrait" blackAndWhite="false" draft="false" cellComments="none" horizontalDpi="300" verticalDpi="300" copies="1"/>
  <headerFooter differentFirst="false" differentOddEven="false">
    <oddHeader>&amp;LCIP 73933&amp;CIng. Emilio David Vidal Domínguez&amp;R&amp;P de</oddHeader>
    <oddFooter>&amp;L Confidencial&amp;C&amp;F&amp;RPágina &amp;P</oddFooter>
  </headerFooter>
  <rowBreaks count="1" manualBreakCount="1">
    <brk id="48" man="true" max="16383" min="0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4" name="No Corresponde">
              <controlPr defaultSize="0" locked="1" autoFill="0" autoLine="0" autoPict="0" print="true" altText="Casilla 1">
                <anchor moveWithCells="true" sizeWithCells="false">
                  <from>
                    <xdr:col>8</xdr:col>
                    <xdr:colOff>725400</xdr:colOff>
                    <xdr:row>8</xdr:row>
                    <xdr:rowOff>20880</xdr:rowOff>
                  </from>
                  <to>
                    <xdr:col>10</xdr:col>
                    <xdr:colOff>23760</xdr:colOff>
                    <xdr:row>9</xdr:row>
                    <xdr:rowOff>-17640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5" name="No Corresponde">
              <controlPr defaultSize="0" locked="1" autoFill="0" autoLine="0" autoPict="0" print="true" altText="Casilla 2">
                <anchor moveWithCells="true" sizeWithCells="false">
                  <from>
                    <xdr:col>7</xdr:col>
                    <xdr:colOff>783360</xdr:colOff>
                    <xdr:row>27</xdr:row>
                    <xdr:rowOff>43920</xdr:rowOff>
                  </from>
                  <to>
                    <xdr:col>9</xdr:col>
                    <xdr:colOff>63720</xdr:colOff>
                    <xdr:row>28</xdr:row>
                    <xdr:rowOff>-175320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6" name="No Corresponde">
              <controlPr defaultSize="0" locked="1" autoFill="0" autoLine="0" autoPict="0" print="true" altText="Casilla 3">
                <anchor moveWithCells="true" sizeWithCells="false">
                  <from>
                    <xdr:col>8</xdr:col>
                    <xdr:colOff>811080</xdr:colOff>
                    <xdr:row>47</xdr:row>
                    <xdr:rowOff>19440</xdr:rowOff>
                  </from>
                  <to>
                    <xdr:col>15</xdr:col>
                    <xdr:colOff>138240</xdr:colOff>
                    <xdr:row>48</xdr:row>
                    <xdr:rowOff>57240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75" workbookViewId="0">
      <selection pane="topLeft" activeCell="C12" activeCellId="0" sqref="C12"/>
    </sheetView>
  </sheetViews>
  <sheetFormatPr defaultColWidth="12.71484375" defaultRowHeight="15" customHeight="true" zeroHeight="false" outlineLevelRow="0" outlineLevelCol="0"/>
  <cols>
    <col collapsed="false" customWidth="true" hidden="false" outlineLevel="0" max="1" min="1" style="0" width="3.78"/>
    <col collapsed="false" customWidth="true" hidden="false" outlineLevel="0" max="2" min="2" style="0" width="25.3"/>
    <col collapsed="false" customWidth="true" hidden="false" outlineLevel="0" max="3" min="3" style="0" width="27.06"/>
    <col collapsed="false" customWidth="true" hidden="false" outlineLevel="0" max="4" min="4" style="0" width="3.78"/>
    <col collapsed="false" customWidth="true" hidden="false" outlineLevel="0" max="5" min="5" style="0" width="25.3"/>
    <col collapsed="false" customWidth="true" hidden="false" outlineLevel="0" max="6" min="6" style="0" width="27.06"/>
    <col collapsed="false" customWidth="true" hidden="false" outlineLevel="0" max="8" min="7" style="0" width="10.07"/>
    <col collapsed="false" customWidth="true" hidden="false" outlineLevel="0" max="9" min="9" style="0" width="10.83"/>
    <col collapsed="false" customWidth="true" hidden="false" outlineLevel="0" max="10" min="10" style="0" width="10.07"/>
    <col collapsed="false" customWidth="true" hidden="false" outlineLevel="0" max="11" min="11" style="0" width="1.13"/>
    <col collapsed="false" customWidth="true" hidden="true" outlineLevel="0" max="12" min="12" style="0" width="4.4"/>
    <col collapsed="false" customWidth="true" hidden="true" outlineLevel="0" max="13" min="13" style="0" width="28.57"/>
    <col collapsed="false" customWidth="true" hidden="true" outlineLevel="0" max="14" min="14" style="0" width="1.13"/>
    <col collapsed="false" customWidth="true" hidden="true" outlineLevel="0" max="15" min="15" style="0" width="9.19"/>
    <col collapsed="false" customWidth="true" hidden="false" outlineLevel="0" max="26" min="16" style="0" width="9.44"/>
  </cols>
  <sheetData>
    <row r="1" customFormat="false" ht="26.25" hidden="false" customHeight="true" outlineLevel="0" collapsed="false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3"/>
      <c r="L1" s="3"/>
      <c r="M1" s="3"/>
      <c r="N1" s="3"/>
      <c r="O1" s="4" t="s">
        <v>1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9.5" hidden="false" customHeight="true" outlineLevel="0" collapsed="false">
      <c r="A2" s="5" t="n">
        <v>1</v>
      </c>
      <c r="B2" s="6" t="s">
        <v>2</v>
      </c>
      <c r="C2" s="7"/>
      <c r="D2" s="8" t="s">
        <v>3</v>
      </c>
      <c r="E2" s="8"/>
      <c r="F2" s="9" t="str">
        <f aca="false">"R" &amp; D5 &amp; "V" &amp; RIGHT(C13,6)</f>
        <v>RV001002</v>
      </c>
      <c r="G2" s="2"/>
      <c r="H2" s="2"/>
      <c r="I2" s="2"/>
      <c r="J2" s="2"/>
      <c r="K2" s="3"/>
      <c r="L2" s="10" t="s">
        <v>4</v>
      </c>
      <c r="M2" s="11" t="s">
        <v>5</v>
      </c>
      <c r="N2" s="3"/>
      <c r="O2" s="12" t="s">
        <v>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24" hidden="false" customHeight="true" outlineLevel="0" collapsed="false">
      <c r="A3" s="13" t="s">
        <v>7</v>
      </c>
      <c r="B3" s="13"/>
      <c r="C3" s="13"/>
      <c r="D3" s="13"/>
      <c r="E3" s="13"/>
      <c r="F3" s="13"/>
      <c r="G3" s="14"/>
      <c r="H3" s="15"/>
      <c r="I3" s="15"/>
      <c r="J3" s="15"/>
      <c r="K3" s="3"/>
      <c r="L3" s="16" t="s">
        <v>8</v>
      </c>
      <c r="M3" s="16" t="s">
        <v>8</v>
      </c>
      <c r="N3" s="3"/>
      <c r="O3" s="12" t="s">
        <v>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9.5" hidden="false" customHeight="true" outlineLevel="0" collapsed="false">
      <c r="A4" s="17" t="n">
        <v>2</v>
      </c>
      <c r="B4" s="18" t="s">
        <v>10</v>
      </c>
      <c r="C4" s="18"/>
      <c r="D4" s="19"/>
      <c r="E4" s="19"/>
      <c r="F4" s="19"/>
      <c r="G4" s="14"/>
      <c r="H4" s="15"/>
      <c r="I4" s="15"/>
      <c r="J4" s="15"/>
      <c r="K4" s="3"/>
      <c r="L4" s="16" t="s">
        <v>11</v>
      </c>
      <c r="M4" s="16" t="s">
        <v>12</v>
      </c>
      <c r="N4" s="3"/>
      <c r="O4" s="12" t="s">
        <v>13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9.5" hidden="false" customHeight="true" outlineLevel="0" collapsed="false">
      <c r="A5" s="20" t="n">
        <v>3</v>
      </c>
      <c r="B5" s="21" t="s">
        <v>14</v>
      </c>
      <c r="C5" s="21"/>
      <c r="D5" s="22"/>
      <c r="E5" s="22"/>
      <c r="F5" s="22"/>
      <c r="G5" s="14"/>
      <c r="H5" s="15"/>
      <c r="I5" s="15"/>
      <c r="J5" s="15"/>
      <c r="K5" s="3"/>
      <c r="L5" s="16" t="s">
        <v>15</v>
      </c>
      <c r="M5" s="16" t="s">
        <v>16</v>
      </c>
      <c r="N5" s="3"/>
      <c r="O5" s="12" t="s">
        <v>17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9.5" hidden="false" customHeight="true" outlineLevel="0" collapsed="false">
      <c r="A6" s="20" t="n">
        <v>4</v>
      </c>
      <c r="B6" s="21" t="s">
        <v>18</v>
      </c>
      <c r="C6" s="21"/>
      <c r="D6" s="22"/>
      <c r="E6" s="22"/>
      <c r="F6" s="22"/>
      <c r="G6" s="14"/>
      <c r="H6" s="23" t="s">
        <v>19</v>
      </c>
      <c r="I6" s="24"/>
      <c r="J6" s="24"/>
      <c r="K6" s="3"/>
      <c r="L6" s="16" t="s">
        <v>20</v>
      </c>
      <c r="M6" s="16" t="s">
        <v>21</v>
      </c>
      <c r="N6" s="3"/>
      <c r="O6" s="12" t="s">
        <v>22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9.5" hidden="false" customHeight="true" outlineLevel="0" collapsed="false">
      <c r="A7" s="20" t="n">
        <v>5</v>
      </c>
      <c r="B7" s="21" t="s">
        <v>23</v>
      </c>
      <c r="C7" s="21"/>
      <c r="D7" s="22"/>
      <c r="E7" s="22"/>
      <c r="F7" s="22"/>
      <c r="G7" s="14"/>
      <c r="H7" s="25" t="s">
        <v>24</v>
      </c>
      <c r="I7" s="25"/>
      <c r="J7" s="25"/>
      <c r="K7" s="3"/>
      <c r="L7" s="16" t="s">
        <v>25</v>
      </c>
      <c r="M7" s="26" t="s">
        <v>26</v>
      </c>
      <c r="N7" s="3"/>
      <c r="O7" s="12" t="s">
        <v>27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9.5" hidden="false" customHeight="true" outlineLevel="0" collapsed="false">
      <c r="A8" s="27" t="n">
        <v>6</v>
      </c>
      <c r="B8" s="28" t="s">
        <v>28</v>
      </c>
      <c r="C8" s="28"/>
      <c r="D8" s="29"/>
      <c r="E8" s="29"/>
      <c r="F8" s="29"/>
      <c r="G8" s="14"/>
      <c r="H8" s="25"/>
      <c r="I8" s="25"/>
      <c r="J8" s="25"/>
      <c r="K8" s="3"/>
      <c r="L8" s="16" t="s">
        <v>29</v>
      </c>
      <c r="M8" s="26" t="s">
        <v>30</v>
      </c>
      <c r="N8" s="3"/>
      <c r="O8" s="12" t="s">
        <v>31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24" hidden="false" customHeight="true" outlineLevel="0" collapsed="false">
      <c r="A9" s="30" t="s">
        <v>32</v>
      </c>
      <c r="B9" s="30"/>
      <c r="C9" s="30"/>
      <c r="D9" s="30"/>
      <c r="E9" s="30"/>
      <c r="F9" s="30"/>
      <c r="G9" s="14"/>
      <c r="H9" s="31" t="s">
        <v>33</v>
      </c>
      <c r="I9" s="32"/>
      <c r="J9" s="33" t="b">
        <v>0</v>
      </c>
      <c r="K9" s="3"/>
      <c r="L9" s="16" t="s">
        <v>34</v>
      </c>
      <c r="M9" s="3"/>
      <c r="N9" s="3"/>
      <c r="O9" s="12" t="s">
        <v>35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8" hidden="false" customHeight="true" outlineLevel="0" collapsed="false">
      <c r="A10" s="17" t="n">
        <v>7</v>
      </c>
      <c r="B10" s="18" t="s">
        <v>36</v>
      </c>
      <c r="C10" s="18"/>
      <c r="D10" s="34" t="n">
        <v>8</v>
      </c>
      <c r="E10" s="18" t="s">
        <v>37</v>
      </c>
      <c r="F10" s="35"/>
      <c r="G10" s="14"/>
      <c r="H10" s="36" t="s">
        <v>38</v>
      </c>
      <c r="I10" s="37" t="n">
        <f aca="false">IF(J9,"NO CORRESPONDE",ROUND(I11,J11))</f>
        <v>0</v>
      </c>
      <c r="J10" s="38" t="s">
        <v>39</v>
      </c>
      <c r="K10" s="3"/>
      <c r="L10" s="16" t="s">
        <v>40</v>
      </c>
      <c r="M10" s="3"/>
      <c r="N10" s="3"/>
      <c r="O10" s="12" t="s">
        <v>41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8" hidden="false" customHeight="true" outlineLevel="0" collapsed="false">
      <c r="A11" s="20" t="n">
        <v>9</v>
      </c>
      <c r="B11" s="21" t="s">
        <v>42</v>
      </c>
      <c r="C11" s="21"/>
      <c r="D11" s="39" t="n">
        <v>10</v>
      </c>
      <c r="E11" s="21" t="s">
        <v>43</v>
      </c>
      <c r="F11" s="40"/>
      <c r="G11" s="14"/>
      <c r="H11" s="41" t="s">
        <v>44</v>
      </c>
      <c r="I11" s="42" t="n">
        <f aca="false">SUM(I12*J12,I13*J13,I14*J14,I15*J17)</f>
        <v>0</v>
      </c>
      <c r="J11" s="38" t="n">
        <v>0</v>
      </c>
      <c r="K11" s="3"/>
      <c r="L11" s="16" t="s">
        <v>45</v>
      </c>
      <c r="M11" s="3"/>
      <c r="N11" s="3"/>
      <c r="O11" s="12" t="s">
        <v>46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8" hidden="false" customHeight="true" outlineLevel="0" collapsed="false">
      <c r="A12" s="20" t="n">
        <v>11</v>
      </c>
      <c r="B12" s="21" t="s">
        <v>47</v>
      </c>
      <c r="C12" s="43" t="s">
        <v>194</v>
      </c>
      <c r="D12" s="39" t="n">
        <v>12</v>
      </c>
      <c r="E12" s="21" t="s">
        <v>49</v>
      </c>
      <c r="F12" s="40"/>
      <c r="G12" s="14"/>
      <c r="H12" s="44" t="s">
        <v>50</v>
      </c>
      <c r="I12" s="45"/>
      <c r="J12" s="38" t="n">
        <v>1</v>
      </c>
      <c r="K12" s="3"/>
      <c r="L12" s="16" t="s">
        <v>51</v>
      </c>
      <c r="M12" s="3"/>
      <c r="N12" s="3"/>
      <c r="O12" s="12" t="s">
        <v>52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8" hidden="false" customHeight="true" outlineLevel="0" collapsed="false">
      <c r="A13" s="20" t="n">
        <v>13</v>
      </c>
      <c r="B13" s="21" t="s">
        <v>53</v>
      </c>
      <c r="C13" s="46" t="str">
        <f aca="false">IF(ISBLANK(I6), C12, I6)</f>
        <v>ABCDE1234WX001002</v>
      </c>
      <c r="D13" s="39" t="n">
        <v>14</v>
      </c>
      <c r="E13" s="21" t="s">
        <v>54</v>
      </c>
      <c r="F13" s="35"/>
      <c r="G13" s="14"/>
      <c r="H13" s="47" t="s">
        <v>55</v>
      </c>
      <c r="I13" s="48"/>
      <c r="J13" s="38" t="n">
        <v>1.609344</v>
      </c>
      <c r="K13" s="3"/>
      <c r="L13" s="16" t="s">
        <v>56</v>
      </c>
      <c r="M13" s="3"/>
      <c r="N13" s="3"/>
      <c r="O13" s="49" t="s">
        <v>57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8" hidden="false" customHeight="true" outlineLevel="0" collapsed="false">
      <c r="A14" s="20" t="n">
        <v>15</v>
      </c>
      <c r="B14" s="21" t="s">
        <v>58</v>
      </c>
      <c r="C14" s="21"/>
      <c r="D14" s="39" t="n">
        <v>16</v>
      </c>
      <c r="E14" s="21" t="s">
        <v>59</v>
      </c>
      <c r="F14" s="40"/>
      <c r="G14" s="14"/>
      <c r="H14" s="41" t="s">
        <v>60</v>
      </c>
      <c r="I14" s="50"/>
      <c r="J14" s="38" t="n">
        <v>1.853184</v>
      </c>
      <c r="K14" s="3"/>
      <c r="L14" s="16" t="s">
        <v>61</v>
      </c>
      <c r="M14" s="3"/>
      <c r="N14" s="3"/>
      <c r="O14" s="3" t="str">
        <f aca="false">CHOOSE(MONTH(J75),O2,O3,O4,O5,O6,O7,O8,O9,O10,O11,O12,O13)</f>
        <v>Diciembre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8" hidden="false" customHeight="true" outlineLevel="0" collapsed="false">
      <c r="A15" s="20" t="n">
        <v>17</v>
      </c>
      <c r="B15" s="21" t="s">
        <v>62</v>
      </c>
      <c r="C15" s="51"/>
      <c r="D15" s="39" t="n">
        <v>18</v>
      </c>
      <c r="E15" s="21" t="s">
        <v>63</v>
      </c>
      <c r="F15" s="40"/>
      <c r="G15" s="14"/>
      <c r="H15" s="41" t="s">
        <v>44</v>
      </c>
      <c r="I15" s="52" t="n">
        <f aca="false">SUM(I17/60,H17)</f>
        <v>0</v>
      </c>
      <c r="J15" s="38" t="s">
        <v>64</v>
      </c>
      <c r="K15" s="3"/>
      <c r="L15" s="16" t="s">
        <v>65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8" hidden="false" customHeight="true" outlineLevel="0" collapsed="false">
      <c r="A16" s="20" t="n">
        <v>19</v>
      </c>
      <c r="B16" s="21" t="s">
        <v>66</v>
      </c>
      <c r="C16" s="21"/>
      <c r="D16" s="39" t="n">
        <v>20</v>
      </c>
      <c r="E16" s="21" t="s">
        <v>67</v>
      </c>
      <c r="F16" s="40"/>
      <c r="G16" s="14"/>
      <c r="H16" s="41" t="s">
        <v>68</v>
      </c>
      <c r="I16" s="53" t="s">
        <v>69</v>
      </c>
      <c r="J16" s="54" t="s">
        <v>70</v>
      </c>
      <c r="K16" s="3"/>
      <c r="L16" s="16" t="s">
        <v>71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8" hidden="false" customHeight="true" outlineLevel="0" collapsed="false">
      <c r="A17" s="20" t="n">
        <v>21</v>
      </c>
      <c r="B17" s="21" t="s">
        <v>72</v>
      </c>
      <c r="C17" s="21"/>
      <c r="D17" s="39" t="n">
        <v>22</v>
      </c>
      <c r="E17" s="21" t="s">
        <v>73</v>
      </c>
      <c r="F17" s="40"/>
      <c r="G17" s="14"/>
      <c r="H17" s="55" t="n">
        <v>0</v>
      </c>
      <c r="I17" s="56" t="n">
        <v>0</v>
      </c>
      <c r="J17" s="57" t="n">
        <v>0</v>
      </c>
      <c r="K17" s="3"/>
      <c r="L17" s="16" t="s">
        <v>74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8" hidden="false" customHeight="true" outlineLevel="0" collapsed="false">
      <c r="A18" s="20" t="n">
        <v>23</v>
      </c>
      <c r="B18" s="21" t="s">
        <v>75</v>
      </c>
      <c r="C18" s="21"/>
      <c r="D18" s="39" t="n">
        <v>24</v>
      </c>
      <c r="E18" s="21" t="s">
        <v>76</v>
      </c>
      <c r="F18" s="40"/>
      <c r="G18" s="14"/>
      <c r="H18" s="58"/>
      <c r="I18" s="58"/>
      <c r="J18" s="58"/>
      <c r="K18" s="3"/>
      <c r="L18" s="16" t="s">
        <v>77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8" hidden="false" customHeight="true" outlineLevel="0" collapsed="false">
      <c r="A19" s="20" t="n">
        <v>25</v>
      </c>
      <c r="B19" s="21" t="s">
        <v>33</v>
      </c>
      <c r="C19" s="21" t="n">
        <f aca="false">I10</f>
        <v>0</v>
      </c>
      <c r="D19" s="39" t="n">
        <v>26</v>
      </c>
      <c r="E19" s="21" t="s">
        <v>78</v>
      </c>
      <c r="F19" s="59"/>
      <c r="G19" s="14"/>
      <c r="H19" s="58"/>
      <c r="I19" s="58"/>
      <c r="J19" s="58"/>
      <c r="K19" s="3"/>
      <c r="L19" s="16" t="s">
        <v>79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8" hidden="false" customHeight="true" outlineLevel="0" collapsed="false">
      <c r="A20" s="27" t="n">
        <v>27</v>
      </c>
      <c r="B20" s="28" t="s">
        <v>80</v>
      </c>
      <c r="C20" s="60"/>
      <c r="D20" s="60"/>
      <c r="E20" s="60"/>
      <c r="F20" s="60"/>
      <c r="G20" s="14"/>
      <c r="H20" s="58"/>
      <c r="I20" s="58"/>
      <c r="J20" s="58"/>
      <c r="K20" s="3"/>
      <c r="L20" s="16" t="s">
        <v>81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24" hidden="false" customHeight="true" outlineLevel="0" collapsed="false">
      <c r="A21" s="30" t="s">
        <v>82</v>
      </c>
      <c r="B21" s="30"/>
      <c r="C21" s="30"/>
      <c r="D21" s="30"/>
      <c r="E21" s="30"/>
      <c r="F21" s="30"/>
      <c r="G21" s="14"/>
      <c r="H21" s="61" t="s">
        <v>83</v>
      </c>
      <c r="I21" s="62" t="s">
        <v>84</v>
      </c>
      <c r="J21" s="63"/>
      <c r="K21" s="3"/>
      <c r="L21" s="16" t="s">
        <v>85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8" hidden="false" customHeight="true" outlineLevel="0" collapsed="false">
      <c r="A22" s="17" t="n">
        <v>28</v>
      </c>
      <c r="B22" s="18" t="s">
        <v>86</v>
      </c>
      <c r="C22" s="64"/>
      <c r="D22" s="34" t="n">
        <v>29</v>
      </c>
      <c r="E22" s="18" t="s">
        <v>87</v>
      </c>
      <c r="F22" s="65"/>
      <c r="G22" s="14"/>
      <c r="H22" s="66"/>
      <c r="I22" s="62"/>
      <c r="J22" s="67"/>
      <c r="K22" s="3"/>
      <c r="L22" s="16" t="s">
        <v>88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8" hidden="false" customHeight="true" outlineLevel="0" collapsed="false">
      <c r="A23" s="20" t="n">
        <v>30</v>
      </c>
      <c r="B23" s="21" t="s">
        <v>89</v>
      </c>
      <c r="C23" s="68"/>
      <c r="D23" s="39" t="n">
        <v>31</v>
      </c>
      <c r="E23" s="21" t="s">
        <v>90</v>
      </c>
      <c r="F23" s="69"/>
      <c r="G23" s="14"/>
      <c r="H23" s="70"/>
      <c r="I23" s="71" t="s">
        <v>91</v>
      </c>
      <c r="J23" s="67"/>
      <c r="K23" s="3"/>
      <c r="L23" s="16" t="s">
        <v>92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8" hidden="false" customHeight="true" outlineLevel="0" collapsed="false">
      <c r="A24" s="20" t="n">
        <v>32</v>
      </c>
      <c r="B24" s="21" t="s">
        <v>93</v>
      </c>
      <c r="C24" s="68"/>
      <c r="D24" s="39" t="n">
        <v>33</v>
      </c>
      <c r="E24" s="21" t="s">
        <v>94</v>
      </c>
      <c r="F24" s="69"/>
      <c r="G24" s="14"/>
      <c r="H24" s="72" t="s">
        <v>44</v>
      </c>
      <c r="I24" s="73" t="n">
        <f aca="false">ROUND(IF(ISBLANK(I25), IF(ISBLANK(I26), IF(ISBLANK(I27), 0, I27*J27), I26*J26), I25),0)</f>
        <v>0</v>
      </c>
      <c r="J24" s="67"/>
      <c r="K24" s="3"/>
      <c r="L24" s="26" t="s">
        <v>95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8" hidden="false" customHeight="true" outlineLevel="0" collapsed="false">
      <c r="A25" s="20" t="n">
        <v>34</v>
      </c>
      <c r="B25" s="21" t="s">
        <v>96</v>
      </c>
      <c r="C25" s="68"/>
      <c r="D25" s="39" t="n">
        <v>35</v>
      </c>
      <c r="E25" s="21" t="s">
        <v>97</v>
      </c>
      <c r="F25" s="69"/>
      <c r="G25" s="14"/>
      <c r="H25" s="72" t="s">
        <v>98</v>
      </c>
      <c r="I25" s="45"/>
      <c r="J25" s="67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8" hidden="false" customHeight="true" outlineLevel="0" collapsed="false">
      <c r="A26" s="20" t="n">
        <v>36</v>
      </c>
      <c r="B26" s="21" t="s">
        <v>99</v>
      </c>
      <c r="C26" s="21"/>
      <c r="D26" s="39" t="n">
        <v>37</v>
      </c>
      <c r="E26" s="21" t="s">
        <v>100</v>
      </c>
      <c r="F26" s="40"/>
      <c r="G26" s="14"/>
      <c r="H26" s="72" t="s">
        <v>101</v>
      </c>
      <c r="I26" s="48"/>
      <c r="J26" s="38" t="n">
        <v>0.7456999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8" hidden="false" customHeight="true" outlineLevel="0" collapsed="false">
      <c r="A27" s="20" t="n">
        <v>38</v>
      </c>
      <c r="B27" s="21" t="s">
        <v>102</v>
      </c>
      <c r="C27" s="21"/>
      <c r="D27" s="39" t="n">
        <v>39</v>
      </c>
      <c r="E27" s="21" t="s">
        <v>103</v>
      </c>
      <c r="F27" s="40"/>
      <c r="G27" s="14"/>
      <c r="H27" s="72" t="s">
        <v>104</v>
      </c>
      <c r="I27" s="50"/>
      <c r="J27" s="38" t="n">
        <v>0.735498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36" hidden="false" customHeight="true" outlineLevel="0" collapsed="false">
      <c r="A28" s="20" t="n">
        <v>40</v>
      </c>
      <c r="B28" s="21" t="s">
        <v>105</v>
      </c>
      <c r="C28" s="21"/>
      <c r="D28" s="39" t="n">
        <v>41</v>
      </c>
      <c r="E28" s="21" t="s">
        <v>106</v>
      </c>
      <c r="F28" s="40"/>
      <c r="G28" s="14"/>
      <c r="H28" s="72" t="s">
        <v>107</v>
      </c>
      <c r="I28" s="74" t="b">
        <v>1</v>
      </c>
      <c r="J28" s="67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36" hidden="false" customHeight="true" outlineLevel="0" collapsed="false">
      <c r="A29" s="20" t="n">
        <v>42</v>
      </c>
      <c r="B29" s="21" t="s">
        <v>108</v>
      </c>
      <c r="C29" s="21"/>
      <c r="D29" s="39" t="n">
        <v>43</v>
      </c>
      <c r="E29" s="21" t="s">
        <v>109</v>
      </c>
      <c r="F29" s="40"/>
      <c r="G29" s="14"/>
      <c r="H29" s="75" t="s">
        <v>110</v>
      </c>
      <c r="I29" s="75"/>
      <c r="J29" s="75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36" hidden="false" customHeight="true" outlineLevel="0" collapsed="false">
      <c r="A30" s="20" t="n">
        <v>44</v>
      </c>
      <c r="B30" s="21" t="s">
        <v>111</v>
      </c>
      <c r="C30" s="21"/>
      <c r="D30" s="39" t="n">
        <v>45</v>
      </c>
      <c r="E30" s="21" t="s">
        <v>112</v>
      </c>
      <c r="F30" s="76" t="str">
        <f aca="false">IF(I28,"NO CORRESPONDE",I24*1000/(F26+IF(ISNUMBER(C31),C31*1000,0)))</f>
        <v>NO CORRESPONDE</v>
      </c>
      <c r="G30" s="14"/>
      <c r="H30" s="14"/>
      <c r="I30" s="75"/>
      <c r="J30" s="75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8" hidden="false" customHeight="true" outlineLevel="0" collapsed="false">
      <c r="A31" s="27" t="n">
        <v>46</v>
      </c>
      <c r="B31" s="28" t="s">
        <v>113</v>
      </c>
      <c r="C31" s="28"/>
      <c r="D31" s="77"/>
      <c r="E31" s="77"/>
      <c r="F31" s="77"/>
      <c r="G31" s="14"/>
      <c r="H31" s="14"/>
      <c r="I31" s="75"/>
      <c r="J31" s="75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24" hidden="false" customHeight="true" outlineLevel="0" collapsed="false">
      <c r="A32" s="30" t="s">
        <v>114</v>
      </c>
      <c r="B32" s="30"/>
      <c r="C32" s="30"/>
      <c r="D32" s="30"/>
      <c r="E32" s="30"/>
      <c r="F32" s="30"/>
      <c r="G32" s="14"/>
      <c r="H32" s="14"/>
      <c r="I32" s="75"/>
      <c r="J32" s="75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8" hidden="false" customHeight="true" outlineLevel="0" collapsed="false">
      <c r="A33" s="17" t="n">
        <v>47</v>
      </c>
      <c r="B33" s="18" t="s">
        <v>115</v>
      </c>
      <c r="C33" s="78"/>
      <c r="D33" s="78"/>
      <c r="E33" s="78"/>
      <c r="F33" s="78"/>
      <c r="G33" s="14"/>
      <c r="H33" s="14"/>
      <c r="I33" s="75"/>
      <c r="J33" s="75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8" hidden="false" customHeight="true" outlineLevel="0" collapsed="false">
      <c r="A34" s="20" t="n">
        <v>48</v>
      </c>
      <c r="B34" s="21" t="s">
        <v>116</v>
      </c>
      <c r="C34" s="40"/>
      <c r="D34" s="40"/>
      <c r="E34" s="40"/>
      <c r="F34" s="40"/>
      <c r="G34" s="14"/>
      <c r="H34" s="14"/>
      <c r="I34" s="75"/>
      <c r="J34" s="75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8" hidden="false" customHeight="true" outlineLevel="0" collapsed="false">
      <c r="A35" s="20" t="n">
        <v>49</v>
      </c>
      <c r="B35" s="21" t="s">
        <v>117</v>
      </c>
      <c r="C35" s="21"/>
      <c r="D35" s="39" t="n">
        <v>50</v>
      </c>
      <c r="E35" s="21" t="s">
        <v>118</v>
      </c>
      <c r="F35" s="40"/>
      <c r="G35" s="14"/>
      <c r="H35" s="14"/>
      <c r="I35" s="75"/>
      <c r="J35" s="75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8" hidden="false" customHeight="true" outlineLevel="0" collapsed="false">
      <c r="A36" s="20" t="n">
        <v>51</v>
      </c>
      <c r="B36" s="21" t="s">
        <v>119</v>
      </c>
      <c r="C36" s="21"/>
      <c r="D36" s="39" t="n">
        <v>52</v>
      </c>
      <c r="E36" s="21" t="s">
        <v>120</v>
      </c>
      <c r="F36" s="40"/>
      <c r="G36" s="14"/>
      <c r="H36" s="79"/>
      <c r="I36" s="79"/>
      <c r="J36" s="79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8" hidden="false" customHeight="true" outlineLevel="0" collapsed="false">
      <c r="A37" s="20" t="n">
        <v>53</v>
      </c>
      <c r="B37" s="21" t="s">
        <v>121</v>
      </c>
      <c r="C37" s="40"/>
      <c r="D37" s="40"/>
      <c r="E37" s="40"/>
      <c r="F37" s="40"/>
      <c r="G37" s="14"/>
      <c r="H37" s="58"/>
      <c r="I37" s="58"/>
      <c r="J37" s="58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8" hidden="false" customHeight="true" outlineLevel="0" collapsed="false">
      <c r="A38" s="20" t="n">
        <v>54</v>
      </c>
      <c r="B38" s="21" t="s">
        <v>122</v>
      </c>
      <c r="C38" s="80"/>
      <c r="D38" s="80"/>
      <c r="E38" s="80"/>
      <c r="F38" s="80"/>
      <c r="G38" s="14"/>
      <c r="H38" s="58"/>
      <c r="I38" s="58"/>
      <c r="J38" s="58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8" hidden="false" customHeight="true" outlineLevel="0" collapsed="false">
      <c r="A39" s="20" t="n">
        <v>55</v>
      </c>
      <c r="B39" s="21" t="s">
        <v>123</v>
      </c>
      <c r="C39" s="21"/>
      <c r="D39" s="39" t="n">
        <v>56</v>
      </c>
      <c r="E39" s="21" t="s">
        <v>124</v>
      </c>
      <c r="F39" s="40"/>
      <c r="G39" s="14"/>
      <c r="H39" s="58"/>
      <c r="I39" s="58"/>
      <c r="J39" s="58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8" hidden="false" customHeight="true" outlineLevel="0" collapsed="false">
      <c r="A40" s="20" t="n">
        <v>57</v>
      </c>
      <c r="B40" s="21" t="s">
        <v>125</v>
      </c>
      <c r="C40" s="21"/>
      <c r="D40" s="39" t="n">
        <v>58</v>
      </c>
      <c r="E40" s="21" t="s">
        <v>126</v>
      </c>
      <c r="F40" s="40"/>
      <c r="G40" s="14"/>
      <c r="H40" s="58"/>
      <c r="I40" s="58"/>
      <c r="J40" s="58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36" hidden="false" customHeight="true" outlineLevel="0" collapsed="false">
      <c r="A41" s="20" t="n">
        <v>59</v>
      </c>
      <c r="B41" s="21" t="s">
        <v>127</v>
      </c>
      <c r="C41" s="81"/>
      <c r="D41" s="39" t="n">
        <v>60</v>
      </c>
      <c r="E41" s="21" t="s">
        <v>128</v>
      </c>
      <c r="F41" s="40"/>
      <c r="G41" s="14"/>
      <c r="H41" s="58"/>
      <c r="I41" s="58"/>
      <c r="J41" s="58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36" hidden="false" customHeight="true" outlineLevel="0" collapsed="false">
      <c r="A42" s="27" t="n">
        <v>61</v>
      </c>
      <c r="B42" s="28" t="s">
        <v>129</v>
      </c>
      <c r="C42" s="82" t="str">
        <f aca="false">IF(ISNUMBER(I43),ROUND(I43,0),I43)</f>
        <v>NO CORRESPONDE</v>
      </c>
      <c r="D42" s="83" t="n">
        <v>62</v>
      </c>
      <c r="E42" s="28" t="s">
        <v>130</v>
      </c>
      <c r="F42" s="84"/>
      <c r="G42" s="14"/>
      <c r="H42" s="85" t="s">
        <v>131</v>
      </c>
      <c r="I42" s="85"/>
      <c r="J42" s="86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24" hidden="false" customHeight="true" outlineLevel="0" collapsed="false">
      <c r="A43" s="30" t="s">
        <v>132</v>
      </c>
      <c r="B43" s="30"/>
      <c r="C43" s="30"/>
      <c r="D43" s="30"/>
      <c r="E43" s="30"/>
      <c r="F43" s="30"/>
      <c r="G43" s="14"/>
      <c r="H43" s="72" t="s">
        <v>44</v>
      </c>
      <c r="I43" s="87" t="str">
        <f aca="false">IF(ISBLANK(I44), IF(ISBLANK(I45), IF(ISBLANK(I46), "NO CORRESPONDE", I46*J46), I45*J45), I44)</f>
        <v>NO CORRESPONDE</v>
      </c>
      <c r="J43" s="86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8" hidden="false" customHeight="true" outlineLevel="0" collapsed="false">
      <c r="A44" s="17" t="n">
        <v>63</v>
      </c>
      <c r="B44" s="18" t="s">
        <v>133</v>
      </c>
      <c r="C44" s="18"/>
      <c r="D44" s="34" t="n">
        <v>64</v>
      </c>
      <c r="E44" s="18" t="s">
        <v>134</v>
      </c>
      <c r="F44" s="35"/>
      <c r="G44" s="14"/>
      <c r="H44" s="72" t="s">
        <v>135</v>
      </c>
      <c r="I44" s="45"/>
      <c r="J44" s="86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8" hidden="false" customHeight="true" outlineLevel="0" collapsed="false">
      <c r="A45" s="20" t="n">
        <v>65</v>
      </c>
      <c r="B45" s="21" t="s">
        <v>136</v>
      </c>
      <c r="C45" s="21"/>
      <c r="D45" s="39" t="n">
        <v>66</v>
      </c>
      <c r="E45" s="21" t="s">
        <v>137</v>
      </c>
      <c r="F45" s="40"/>
      <c r="G45" s="14"/>
      <c r="H45" s="72" t="s">
        <v>138</v>
      </c>
      <c r="I45" s="48"/>
      <c r="J45" s="38" t="n">
        <v>3.785412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8" hidden="false" customHeight="true" outlineLevel="0" collapsed="false">
      <c r="A46" s="20" t="n">
        <v>67</v>
      </c>
      <c r="B46" s="21" t="s">
        <v>139</v>
      </c>
      <c r="C46" s="21" t="n">
        <f aca="false">I49</f>
        <v>0</v>
      </c>
      <c r="D46" s="39" t="n">
        <v>68</v>
      </c>
      <c r="E46" s="21" t="s">
        <v>140</v>
      </c>
      <c r="F46" s="40"/>
      <c r="G46" s="14"/>
      <c r="H46" s="88" t="s">
        <v>141</v>
      </c>
      <c r="I46" s="89"/>
      <c r="J46" s="90" t="n">
        <v>4.546092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8" hidden="false" customHeight="true" outlineLevel="0" collapsed="false">
      <c r="A47" s="20" t="n">
        <v>69</v>
      </c>
      <c r="B47" s="21" t="s">
        <v>142</v>
      </c>
      <c r="C47" s="21"/>
      <c r="D47" s="39" t="n">
        <v>70</v>
      </c>
      <c r="E47" s="21" t="s">
        <v>143</v>
      </c>
      <c r="F47" s="40" t="str">
        <f aca="false">IF(ISNUMBER(H22), I24 &amp; " kW. @ " &amp; H22 &amp; " rpm", "NO CORRESPONDE")</f>
        <v>NO CORRESPONDE</v>
      </c>
      <c r="G47" s="14"/>
      <c r="H47" s="91"/>
      <c r="I47" s="91"/>
      <c r="J47" s="91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8" hidden="false" customHeight="true" outlineLevel="0" collapsed="false">
      <c r="A48" s="92" t="n">
        <v>71</v>
      </c>
      <c r="B48" s="93" t="s">
        <v>144</v>
      </c>
      <c r="C48" s="93"/>
      <c r="D48" s="94" t="n">
        <v>72</v>
      </c>
      <c r="E48" s="95" t="s">
        <v>145</v>
      </c>
      <c r="F48" s="60"/>
      <c r="G48" s="14"/>
      <c r="H48" s="61" t="s">
        <v>146</v>
      </c>
      <c r="I48" s="96"/>
      <c r="J48" s="97" t="b"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24" hidden="false" customHeight="true" outlineLevel="0" collapsed="false">
      <c r="A49" s="30" t="s">
        <v>147</v>
      </c>
      <c r="B49" s="30"/>
      <c r="C49" s="30"/>
      <c r="D49" s="30"/>
      <c r="E49" s="30"/>
      <c r="F49" s="30"/>
      <c r="G49" s="14"/>
      <c r="H49" s="72" t="s">
        <v>44</v>
      </c>
      <c r="I49" s="87" t="n">
        <f aca="false">IF(J48, "NO CORRESPONDE", SUM(J50:J52))</f>
        <v>0</v>
      </c>
      <c r="J49" s="38" t="s">
        <v>148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8" hidden="false" customHeight="true" outlineLevel="0" collapsed="false">
      <c r="A50" s="17" t="n">
        <v>73</v>
      </c>
      <c r="B50" s="18" t="s">
        <v>149</v>
      </c>
      <c r="C50" s="18"/>
      <c r="D50" s="98" t="n">
        <v>74</v>
      </c>
      <c r="E50" s="98" t="s">
        <v>150</v>
      </c>
      <c r="F50" s="35"/>
      <c r="G50" s="14"/>
      <c r="H50" s="72" t="s">
        <v>151</v>
      </c>
      <c r="I50" s="45"/>
      <c r="J50" s="38" t="n">
        <f aca="false">I50*1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8" hidden="false" customHeight="true" outlineLevel="0" collapsed="false">
      <c r="A51" s="20" t="n">
        <v>75</v>
      </c>
      <c r="B51" s="21" t="s">
        <v>152</v>
      </c>
      <c r="C51" s="21"/>
      <c r="D51" s="39" t="n">
        <v>76</v>
      </c>
      <c r="E51" s="21" t="s">
        <v>153</v>
      </c>
      <c r="F51" s="99"/>
      <c r="G51" s="14"/>
      <c r="H51" s="72" t="s">
        <v>154</v>
      </c>
      <c r="I51" s="48"/>
      <c r="J51" s="38" t="n">
        <f aca="false">I51*1000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8" hidden="false" customHeight="true" outlineLevel="0" collapsed="false">
      <c r="A52" s="20" t="n">
        <v>77</v>
      </c>
      <c r="B52" s="21" t="s">
        <v>155</v>
      </c>
      <c r="C52" s="100"/>
      <c r="D52" s="39" t="n">
        <v>78</v>
      </c>
      <c r="E52" s="21" t="s">
        <v>156</v>
      </c>
      <c r="F52" s="99" t="str">
        <f aca="false">IF(AND(ISNUMBER(F51), ISNUMBER(C52)), SUM(F51,C52), "NO CORRESPONDE")</f>
        <v>NO CORRESPONDE</v>
      </c>
      <c r="G52" s="14"/>
      <c r="H52" s="88" t="s">
        <v>157</v>
      </c>
      <c r="I52" s="50"/>
      <c r="J52" s="90" t="n">
        <f aca="false">I52*16.3871</f>
        <v>0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8" hidden="false" customHeight="true" outlineLevel="0" collapsed="false">
      <c r="A53" s="20" t="n">
        <v>79</v>
      </c>
      <c r="B53" s="21" t="s">
        <v>158</v>
      </c>
      <c r="C53" s="100"/>
      <c r="D53" s="39" t="n">
        <v>80</v>
      </c>
      <c r="E53" s="21" t="s">
        <v>159</v>
      </c>
      <c r="F53" s="76"/>
      <c r="G53" s="14"/>
      <c r="H53" s="101"/>
      <c r="I53" s="101"/>
      <c r="J53" s="101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8" hidden="false" customHeight="true" outlineLevel="0" collapsed="false">
      <c r="A54" s="27" t="n">
        <v>81</v>
      </c>
      <c r="B54" s="28" t="s">
        <v>160</v>
      </c>
      <c r="C54" s="60"/>
      <c r="D54" s="60"/>
      <c r="E54" s="60"/>
      <c r="F54" s="60"/>
      <c r="G54" s="14"/>
      <c r="H54" s="101"/>
      <c r="I54" s="101"/>
      <c r="J54" s="101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24" hidden="false" customHeight="true" outlineLevel="0" collapsed="false">
      <c r="A55" s="30" t="s">
        <v>161</v>
      </c>
      <c r="B55" s="30"/>
      <c r="C55" s="30"/>
      <c r="D55" s="30"/>
      <c r="E55" s="30"/>
      <c r="F55" s="30"/>
      <c r="G55" s="14"/>
      <c r="H55" s="101"/>
      <c r="I55" s="101"/>
      <c r="J55" s="101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8" hidden="false" customHeight="true" outlineLevel="0" collapsed="false">
      <c r="A56" s="17" t="n">
        <v>82</v>
      </c>
      <c r="B56" s="18" t="s">
        <v>162</v>
      </c>
      <c r="C56" s="18"/>
      <c r="D56" s="34" t="n">
        <v>83</v>
      </c>
      <c r="E56" s="18" t="s">
        <v>163</v>
      </c>
      <c r="F56" s="35"/>
      <c r="G56" s="14"/>
      <c r="H56" s="101"/>
      <c r="I56" s="101"/>
      <c r="J56" s="101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8" hidden="false" customHeight="true" outlineLevel="0" collapsed="false">
      <c r="A57" s="27" t="n">
        <v>84</v>
      </c>
      <c r="B57" s="28" t="s">
        <v>164</v>
      </c>
      <c r="C57" s="28"/>
      <c r="D57" s="83" t="n">
        <v>85</v>
      </c>
      <c r="E57" s="28" t="s">
        <v>165</v>
      </c>
      <c r="F57" s="84"/>
      <c r="G57" s="14"/>
      <c r="H57" s="101"/>
      <c r="I57" s="101"/>
      <c r="J57" s="101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24" hidden="false" customHeight="true" outlineLevel="0" collapsed="false">
      <c r="A58" s="30" t="s">
        <v>166</v>
      </c>
      <c r="B58" s="30"/>
      <c r="C58" s="30"/>
      <c r="D58" s="30"/>
      <c r="E58" s="30"/>
      <c r="F58" s="30"/>
      <c r="G58" s="14"/>
      <c r="H58" s="101"/>
      <c r="I58" s="101"/>
      <c r="J58" s="101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8" hidden="false" customHeight="true" outlineLevel="0" collapsed="false">
      <c r="A59" s="17" t="n">
        <v>86</v>
      </c>
      <c r="B59" s="18" t="s">
        <v>167</v>
      </c>
      <c r="C59" s="78"/>
      <c r="D59" s="78"/>
      <c r="E59" s="78"/>
      <c r="F59" s="78"/>
      <c r="G59" s="14"/>
      <c r="H59" s="101"/>
      <c r="I59" s="101"/>
      <c r="J59" s="101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27" hidden="false" customHeight="true" outlineLevel="0" collapsed="false">
      <c r="A60" s="20" t="n">
        <v>87</v>
      </c>
      <c r="B60" s="21" t="s">
        <v>168</v>
      </c>
      <c r="C60" s="21"/>
      <c r="D60" s="39" t="n">
        <v>88</v>
      </c>
      <c r="E60" s="21" t="s">
        <v>169</v>
      </c>
      <c r="F60" s="40"/>
      <c r="G60" s="14"/>
      <c r="H60" s="101"/>
      <c r="I60" s="101"/>
      <c r="J60" s="101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8" hidden="false" customHeight="true" outlineLevel="0" collapsed="false">
      <c r="A61" s="20" t="n">
        <v>89</v>
      </c>
      <c r="B61" s="21" t="s">
        <v>170</v>
      </c>
      <c r="C61" s="21"/>
      <c r="D61" s="39" t="n">
        <v>90</v>
      </c>
      <c r="E61" s="21" t="s">
        <v>171</v>
      </c>
      <c r="F61" s="40"/>
      <c r="G61" s="14"/>
      <c r="H61" s="101"/>
      <c r="I61" s="101"/>
      <c r="J61" s="101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8" hidden="false" customHeight="true" outlineLevel="0" collapsed="false">
      <c r="A62" s="20" t="n">
        <v>91</v>
      </c>
      <c r="B62" s="21" t="s">
        <v>172</v>
      </c>
      <c r="C62" s="21"/>
      <c r="D62" s="39" t="n">
        <v>92</v>
      </c>
      <c r="E62" s="21" t="s">
        <v>173</v>
      </c>
      <c r="F62" s="40"/>
      <c r="G62" s="14"/>
      <c r="H62" s="101"/>
      <c r="I62" s="101"/>
      <c r="J62" s="101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8" hidden="false" customHeight="true" outlineLevel="0" collapsed="false">
      <c r="A63" s="20" t="n">
        <v>93</v>
      </c>
      <c r="B63" s="21" t="s">
        <v>174</v>
      </c>
      <c r="C63" s="21"/>
      <c r="D63" s="39" t="n">
        <v>94</v>
      </c>
      <c r="E63" s="21" t="s">
        <v>175</v>
      </c>
      <c r="F63" s="40"/>
      <c r="G63" s="14"/>
      <c r="H63" s="101"/>
      <c r="I63" s="101"/>
      <c r="J63" s="101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8" hidden="false" customHeight="true" outlineLevel="0" collapsed="false">
      <c r="A64" s="20" t="n">
        <v>95</v>
      </c>
      <c r="B64" s="21" t="s">
        <v>176</v>
      </c>
      <c r="C64" s="21"/>
      <c r="D64" s="39" t="n">
        <v>96</v>
      </c>
      <c r="E64" s="21" t="s">
        <v>177</v>
      </c>
      <c r="F64" s="40"/>
      <c r="G64" s="14"/>
      <c r="H64" s="101"/>
      <c r="I64" s="101"/>
      <c r="J64" s="101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8" hidden="false" customHeight="true" outlineLevel="0" collapsed="false">
      <c r="A65" s="27" t="n">
        <v>97</v>
      </c>
      <c r="B65" s="28" t="s">
        <v>178</v>
      </c>
      <c r="C65" s="60"/>
      <c r="D65" s="60"/>
      <c r="E65" s="60"/>
      <c r="F65" s="60"/>
      <c r="G65" s="14"/>
      <c r="H65" s="101"/>
      <c r="I65" s="101"/>
      <c r="J65" s="101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24" hidden="false" customHeight="true" outlineLevel="0" collapsed="false">
      <c r="A66" s="30" t="s">
        <v>179</v>
      </c>
      <c r="B66" s="30"/>
      <c r="C66" s="30"/>
      <c r="D66" s="30"/>
      <c r="E66" s="30"/>
      <c r="F66" s="30"/>
      <c r="G66" s="14"/>
      <c r="H66" s="101"/>
      <c r="I66" s="101"/>
      <c r="J66" s="101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2.75" hidden="false" customHeight="true" outlineLevel="0" collapsed="false">
      <c r="A67" s="17" t="n">
        <v>98</v>
      </c>
      <c r="B67" s="18" t="s">
        <v>180</v>
      </c>
      <c r="C67" s="18" t="s">
        <v>181</v>
      </c>
      <c r="D67" s="34" t="n">
        <v>99</v>
      </c>
      <c r="E67" s="18" t="s">
        <v>182</v>
      </c>
      <c r="F67" s="35" t="s">
        <v>181</v>
      </c>
      <c r="G67" s="14"/>
      <c r="H67" s="101"/>
      <c r="I67" s="101"/>
      <c r="J67" s="101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2.75" hidden="false" customHeight="true" outlineLevel="0" collapsed="false">
      <c r="A68" s="20" t="n">
        <v>100</v>
      </c>
      <c r="B68" s="21" t="s">
        <v>183</v>
      </c>
      <c r="C68" s="21" t="s">
        <v>181</v>
      </c>
      <c r="D68" s="39" t="n">
        <v>101</v>
      </c>
      <c r="E68" s="21" t="s">
        <v>184</v>
      </c>
      <c r="F68" s="40" t="s">
        <v>181</v>
      </c>
      <c r="G68" s="14"/>
      <c r="H68" s="101"/>
      <c r="I68" s="101"/>
      <c r="J68" s="101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2.75" hidden="false" customHeight="true" outlineLevel="0" collapsed="false">
      <c r="A69" s="20" t="n">
        <v>102</v>
      </c>
      <c r="B69" s="21" t="s">
        <v>185</v>
      </c>
      <c r="C69" s="102" t="s">
        <v>181</v>
      </c>
      <c r="D69" s="102"/>
      <c r="E69" s="102"/>
      <c r="F69" s="102"/>
      <c r="G69" s="14"/>
      <c r="H69" s="101"/>
      <c r="I69" s="101"/>
      <c r="J69" s="101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50.25" hidden="false" customHeight="true" outlineLevel="0" collapsed="false">
      <c r="A70" s="27" t="n">
        <v>103</v>
      </c>
      <c r="B70" s="28" t="s">
        <v>186</v>
      </c>
      <c r="C70" s="103" t="s">
        <v>181</v>
      </c>
      <c r="D70" s="103"/>
      <c r="E70" s="103"/>
      <c r="F70" s="103"/>
      <c r="G70" s="14"/>
      <c r="H70" s="101"/>
      <c r="I70" s="101"/>
      <c r="J70" s="101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24" hidden="false" customHeight="true" outlineLevel="0" collapsed="false">
      <c r="A71" s="30" t="s">
        <v>187</v>
      </c>
      <c r="B71" s="30"/>
      <c r="C71" s="30"/>
      <c r="D71" s="30"/>
      <c r="E71" s="30"/>
      <c r="F71" s="30"/>
      <c r="G71" s="14"/>
      <c r="H71" s="101"/>
      <c r="I71" s="101"/>
      <c r="J71" s="101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30" hidden="false" customHeight="true" outlineLevel="0" collapsed="false">
      <c r="A72" s="104" t="s">
        <v>188</v>
      </c>
      <c r="B72" s="104"/>
      <c r="C72" s="104"/>
      <c r="D72" s="104"/>
      <c r="E72" s="104"/>
      <c r="F72" s="104"/>
      <c r="G72" s="14"/>
      <c r="H72" s="101"/>
      <c r="I72" s="101"/>
      <c r="J72" s="101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90.5" hidden="false" customHeight="true" outlineLevel="0" collapsed="false">
      <c r="A73" s="20" t="n">
        <v>104</v>
      </c>
      <c r="B73" s="105" t="s">
        <v>189</v>
      </c>
      <c r="C73" s="102"/>
      <c r="D73" s="102"/>
      <c r="E73" s="102"/>
      <c r="F73" s="102"/>
      <c r="G73" s="14"/>
      <c r="H73" s="101"/>
      <c r="I73" s="101"/>
      <c r="J73" s="101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225" hidden="false" customHeight="true" outlineLevel="0" collapsed="false">
      <c r="A74" s="27" t="n">
        <v>105</v>
      </c>
      <c r="B74" s="106" t="s">
        <v>190</v>
      </c>
      <c r="C74" s="77"/>
      <c r="D74" s="77"/>
      <c r="E74" s="77"/>
      <c r="F74" s="77"/>
      <c r="G74" s="14"/>
      <c r="H74" s="101"/>
      <c r="I74" s="101"/>
      <c r="J74" s="101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8" hidden="false" customHeight="true" outlineLevel="0" collapsed="false">
      <c r="A75" s="5" t="n">
        <v>106</v>
      </c>
      <c r="B75" s="6" t="s">
        <v>191</v>
      </c>
      <c r="C75" s="107" t="str">
        <f aca="false">CONCATENATE(H75, ", ", TEXT(DAY(J75), "00"), " de ", O14, " de ", TEXT(YEAR(J75), "0000"), ".")</f>
        <v>, 30 de Diciembre de 1899.</v>
      </c>
      <c r="D75" s="107"/>
      <c r="E75" s="107"/>
      <c r="F75" s="107"/>
      <c r="G75" s="108" t="s">
        <v>192</v>
      </c>
      <c r="H75" s="109"/>
      <c r="I75" s="110" t="s">
        <v>193</v>
      </c>
      <c r="J75" s="111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true" outlineLevel="0" collapsed="false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customFormat="false" ht="12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2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2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2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2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2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2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2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2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2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2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2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2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2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2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2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2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2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2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2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2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2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2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2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2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2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2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2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2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2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2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2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2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2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2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2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2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2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2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2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2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2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2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2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2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2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2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2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2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2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2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2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2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2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2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2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2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2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2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2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2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2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2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2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2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2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2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2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2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2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2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2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2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2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2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2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2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2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2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2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2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2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2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2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2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2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2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2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2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2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2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2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2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2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2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2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2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2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2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2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2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2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2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2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2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2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2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2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2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2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2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2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2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2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2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2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2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2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2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2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2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2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2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2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2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2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2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2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2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2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2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2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2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2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2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2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2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2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2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2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2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2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2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2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2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2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2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2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2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2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2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2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2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2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2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2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2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2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2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2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2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2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2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2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2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2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2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2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2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2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2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2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2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2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2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2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2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2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2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2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2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2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2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2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2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2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2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2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2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2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2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2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2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2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2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2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2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2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2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2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2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2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2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2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2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2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2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2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2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2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2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2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2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2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2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2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2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2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2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2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2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2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2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2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2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2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2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2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2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2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2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2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2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2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2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2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2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2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2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2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2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2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2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2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2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2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2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2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2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2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2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2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2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2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2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2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2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2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2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2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2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2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2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2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2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2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2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2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2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2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2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2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2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2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2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2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2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2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2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2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2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2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2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2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2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2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2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2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2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2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2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2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2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2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2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2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2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2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2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2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2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2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2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2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2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2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2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2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2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2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2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2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2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2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2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2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2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2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2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2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2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2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2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2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2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2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2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2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2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2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2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2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2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2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2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2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2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2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2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2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2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2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2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2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2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2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2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2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2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2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2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2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2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2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2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2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2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2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2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2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2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2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2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2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2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2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2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2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2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2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2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2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2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2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2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2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2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2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2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2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2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2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2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2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2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2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2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2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2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2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2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2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2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2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2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2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2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2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2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2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2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2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2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2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2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2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2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2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2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2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2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2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2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2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2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2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2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2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2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2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2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2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2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2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2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2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2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2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2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2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2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2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2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2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2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2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2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2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2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2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2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2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2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2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2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2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2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2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2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2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2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2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2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2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2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2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2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2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2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2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2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2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2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2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2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2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2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2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2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2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2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2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2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2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2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2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2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2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2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2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2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2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2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2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2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2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2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2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2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2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2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2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2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2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2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2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2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2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2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2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2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2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2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2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2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2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2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2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2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2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2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2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2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2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2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2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2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2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2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2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2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2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2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2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2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2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2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2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2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2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2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2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2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2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2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2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2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2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2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2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2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2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2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2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2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2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2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2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2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2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2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2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2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2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2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2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2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2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2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2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2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2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2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2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2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2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2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2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2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2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2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2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2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2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2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2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2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2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2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2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2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2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2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2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2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2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2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2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2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2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2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2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2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2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2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2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2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2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2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2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2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2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2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2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2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2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2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2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2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2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2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2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2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2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2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2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2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2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2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2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2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2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2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2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2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2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2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2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2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2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2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2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2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2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2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2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2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2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2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2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2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2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2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2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2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2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2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2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2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2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2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2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2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2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2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2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2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2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2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2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2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2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2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2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2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2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2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2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2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2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2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2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2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2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2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2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2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2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2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2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2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2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2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2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2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2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2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2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2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2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2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2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2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2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2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2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2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2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2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2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2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2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2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2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2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2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2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2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2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2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2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2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2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2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2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2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2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2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2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2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2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2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2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2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2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2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2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2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2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2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2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2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2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2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2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2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2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2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2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2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2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2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2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2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2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2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2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2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2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2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2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2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2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2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2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2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2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2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2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2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2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2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2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2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2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2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2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2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2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2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2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2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2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2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2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2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2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2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2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2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2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2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2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2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2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2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2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2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2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2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2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2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2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2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2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2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2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2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2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2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2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2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2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2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2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2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2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2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2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2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2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2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2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2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2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2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2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2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2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2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2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2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2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2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2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2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2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2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2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2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2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2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2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2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2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2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2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2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2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2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2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2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2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2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2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2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2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2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2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2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2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2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2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2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2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2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2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2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2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2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2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2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2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2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2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2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2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2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2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2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2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2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2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2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2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2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2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2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2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2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2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2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2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2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2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2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2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2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2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2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2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2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2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2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2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2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2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2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2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2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2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2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2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2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2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2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2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2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2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2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2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2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2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2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2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2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2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2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2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2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2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2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2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2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1">
    <mergeCell ref="A1:F1"/>
    <mergeCell ref="G1:J2"/>
    <mergeCell ref="D2:E2"/>
    <mergeCell ref="A3:F3"/>
    <mergeCell ref="G3:G74"/>
    <mergeCell ref="H3:J5"/>
    <mergeCell ref="B4:C4"/>
    <mergeCell ref="D4:F4"/>
    <mergeCell ref="B5:C5"/>
    <mergeCell ref="D5:F5"/>
    <mergeCell ref="B6:C6"/>
    <mergeCell ref="D6:F6"/>
    <mergeCell ref="I6:J6"/>
    <mergeCell ref="B7:C7"/>
    <mergeCell ref="D7:F7"/>
    <mergeCell ref="H7:J8"/>
    <mergeCell ref="B8:C8"/>
    <mergeCell ref="D8:F8"/>
    <mergeCell ref="A9:F9"/>
    <mergeCell ref="H18:J20"/>
    <mergeCell ref="C20:F20"/>
    <mergeCell ref="A21:F21"/>
    <mergeCell ref="I21:I22"/>
    <mergeCell ref="H29:J35"/>
    <mergeCell ref="D31:F31"/>
    <mergeCell ref="A32:F32"/>
    <mergeCell ref="C33:F33"/>
    <mergeCell ref="C34:F34"/>
    <mergeCell ref="H36:J36"/>
    <mergeCell ref="C37:F37"/>
    <mergeCell ref="H37:J41"/>
    <mergeCell ref="C38:F38"/>
    <mergeCell ref="H42:I42"/>
    <mergeCell ref="J42:J44"/>
    <mergeCell ref="A43:F43"/>
    <mergeCell ref="A49:F49"/>
    <mergeCell ref="H53:J74"/>
    <mergeCell ref="C54:F54"/>
    <mergeCell ref="A55:F55"/>
    <mergeCell ref="A58:F58"/>
    <mergeCell ref="C59:F59"/>
    <mergeCell ref="C65:F65"/>
    <mergeCell ref="A66:F66"/>
    <mergeCell ref="C69:F69"/>
    <mergeCell ref="C70:F70"/>
    <mergeCell ref="A71:F71"/>
    <mergeCell ref="A72:F72"/>
    <mergeCell ref="C73:F73"/>
    <mergeCell ref="C74:F74"/>
    <mergeCell ref="C75:F75"/>
    <mergeCell ref="A76:J76"/>
  </mergeCells>
  <dataValidations count="6">
    <dataValidation allowBlank="true" errorStyle="stop" operator="equal" prompt="Combustible Inválido - Ingrese uno de los valores de la Tabla V: Tipos de Combustible o Fuente de Energía de la Estandarización de Características Registrables Vehiculares." showDropDown="false" showErrorMessage="true" showInputMessage="true" sqref="F15" type="list">
      <formula1>$L$3:$L$24</formula1>
      <formula2>0</formula2>
    </dataValidation>
    <dataValidation allowBlank="true" errorStyle="stop" operator="equal" prompt="Dato Inválido - Seleccione una de las posibles ubicaciones de la lista desplegable." showDropDown="false" showErrorMessage="true" showInputMessage="true" sqref="C44" type="list">
      <formula1>"NO CORRESPONDE,DELANTERO,CENTRAL,POSTERIOR"</formula1>
      <formula2>0</formula2>
    </dataValidation>
    <dataValidation allowBlank="true" errorStyle="stop" operator="equal" prompt="Valor Inválido - Seleccione una posible posición de la lista desplegable." showDropDown="false" showErrorMessage="true" showInputMessage="true" sqref="F44" type="list">
      <formula1>"NO CORRESPONDE,TRANSVERSAL,LONGITUDINAL"</formula1>
      <formula2>0</formula2>
    </dataValidation>
    <dataValidation allowBlank="true" errorStyle="stop" operator="equal" prompt="Valor Inválido - Selecciona una configuración posible de la lista desplegable." showDropDown="false" showErrorMessage="true" showInputMessage="true" sqref="F45" type="list">
      <formula1>"NO CORRESPONDE,EN LÍNEA,EN V,EN V 90º,OPUESTOS HORIZONTALMENTE"</formula1>
      <formula2>0</formula2>
    </dataValidation>
    <dataValidation allowBlank="true" errorStyle="stop" operator="equal" prompt="Valor Inválido - Seleccione un valor de la lista despegable que corresponda a la Tabla IV del a estandarización vehicular." showDropDown="false" showErrorMessage="true" showInputMessage="true" sqref="F56" type="list">
      <formula1>$M$3:$M$8</formula1>
      <formula2>0</formula2>
    </dataValidation>
    <dataValidation allowBlank="true" errorStyle="stop" operator="equal" prompt="Selección - Debe seleccionar uno de los valores definidos para esta celda." showDropDown="false" showErrorMessage="true" showInputMessage="true" sqref="H75" type="list">
      <formula1>"Lima,Callao,Paita,Piura,Tumbes,Salaverry,Trujillo,Pisco,Moquegua,Matarini,Ilo,Mollendo,Tacna,Puerto Maldonado,Iñapari,Pucallpa,Iquitos,Puno"</formula1>
      <formula2>0</formula2>
    </dataValidation>
  </dataValidations>
  <printOptions headings="false" gridLines="false" gridLinesSet="true" horizontalCentered="true" verticalCentered="true"/>
  <pageMargins left="0.511805555555556" right="0.196527777777778" top="1.18125" bottom="0.39375" header="0" footer="0"/>
  <pageSetup paperSize="9" scale="75" fitToWidth="1" fitToHeight="1" pageOrder="downThenOver" orientation="portrait" blackAndWhite="false" draft="false" cellComments="none" horizontalDpi="300" verticalDpi="300" copies="1"/>
  <headerFooter differentFirst="false" differentOddEven="false">
    <oddHeader>&amp;LCIP 73933&amp;CIng. Emilio David Vidal Domínguez&amp;R&amp;P de</oddHeader>
    <oddFooter>&amp;L Confidencial&amp;C&amp;F&amp;RPágina &amp;P</oddFooter>
  </headerFooter>
  <rowBreaks count="1" manualBreakCount="1">
    <brk id="48" man="true" max="16383" min="0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4" name="No Corresponde">
              <controlPr defaultSize="0" locked="1" autoFill="0" autoLine="0" autoPict="0" print="true" altText="Casilla 1">
                <anchor moveWithCells="true" sizeWithCells="false">
                  <from>
                    <xdr:col>8</xdr:col>
                    <xdr:colOff>725400</xdr:colOff>
                    <xdr:row>8</xdr:row>
                    <xdr:rowOff>20880</xdr:rowOff>
                  </from>
                  <to>
                    <xdr:col>10</xdr:col>
                    <xdr:colOff>23760</xdr:colOff>
                    <xdr:row>9</xdr:row>
                    <xdr:rowOff>-17640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5" name="No Corresponde">
              <controlPr defaultSize="0" locked="1" autoFill="0" autoLine="0" autoPict="0" print="true" altText="Casilla 2">
                <anchor moveWithCells="true" sizeWithCells="false">
                  <from>
                    <xdr:col>7</xdr:col>
                    <xdr:colOff>783360</xdr:colOff>
                    <xdr:row>27</xdr:row>
                    <xdr:rowOff>43920</xdr:rowOff>
                  </from>
                  <to>
                    <xdr:col>9</xdr:col>
                    <xdr:colOff>63720</xdr:colOff>
                    <xdr:row>28</xdr:row>
                    <xdr:rowOff>-175320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6" name="No Corresponde">
              <controlPr defaultSize="0" locked="1" autoFill="0" autoLine="0" autoPict="0" print="true" altText="Casilla 3">
                <anchor moveWithCells="true" sizeWithCells="false">
                  <from>
                    <xdr:col>8</xdr:col>
                    <xdr:colOff>811080</xdr:colOff>
                    <xdr:row>47</xdr:row>
                    <xdr:rowOff>19440</xdr:rowOff>
                  </from>
                  <to>
                    <xdr:col>15</xdr:col>
                    <xdr:colOff>138240</xdr:colOff>
                    <xdr:row>48</xdr:row>
                    <xdr:rowOff>57240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75" workbookViewId="0">
      <selection pane="topLeft" activeCell="C13" activeCellId="0" sqref="C13"/>
    </sheetView>
  </sheetViews>
  <sheetFormatPr defaultColWidth="12.71484375" defaultRowHeight="15" customHeight="true" zeroHeight="false" outlineLevelRow="0" outlineLevelCol="0"/>
  <cols>
    <col collapsed="false" customWidth="true" hidden="false" outlineLevel="0" max="1" min="1" style="0" width="3.78"/>
    <col collapsed="false" customWidth="true" hidden="false" outlineLevel="0" max="2" min="2" style="0" width="25.3"/>
    <col collapsed="false" customWidth="true" hidden="false" outlineLevel="0" max="3" min="3" style="0" width="27.06"/>
    <col collapsed="false" customWidth="true" hidden="false" outlineLevel="0" max="4" min="4" style="0" width="3.78"/>
    <col collapsed="false" customWidth="true" hidden="false" outlineLevel="0" max="5" min="5" style="0" width="25.3"/>
    <col collapsed="false" customWidth="true" hidden="false" outlineLevel="0" max="6" min="6" style="0" width="27.06"/>
    <col collapsed="false" customWidth="true" hidden="false" outlineLevel="0" max="8" min="7" style="0" width="10.07"/>
    <col collapsed="false" customWidth="true" hidden="false" outlineLevel="0" max="9" min="9" style="0" width="10.83"/>
    <col collapsed="false" customWidth="true" hidden="false" outlineLevel="0" max="10" min="10" style="0" width="10.07"/>
    <col collapsed="false" customWidth="true" hidden="false" outlineLevel="0" max="11" min="11" style="0" width="1.13"/>
    <col collapsed="false" customWidth="true" hidden="true" outlineLevel="0" max="12" min="12" style="0" width="4.4"/>
    <col collapsed="false" customWidth="true" hidden="true" outlineLevel="0" max="13" min="13" style="0" width="28.57"/>
    <col collapsed="false" customWidth="true" hidden="true" outlineLevel="0" max="14" min="14" style="0" width="1.13"/>
    <col collapsed="false" customWidth="true" hidden="true" outlineLevel="0" max="15" min="15" style="0" width="9.19"/>
    <col collapsed="false" customWidth="true" hidden="false" outlineLevel="0" max="26" min="16" style="0" width="9.44"/>
  </cols>
  <sheetData>
    <row r="1" customFormat="false" ht="26.25" hidden="false" customHeight="true" outlineLevel="0" collapsed="false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3"/>
      <c r="L1" s="3"/>
      <c r="M1" s="3"/>
      <c r="N1" s="3"/>
      <c r="O1" s="4" t="s">
        <v>1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9.5" hidden="false" customHeight="true" outlineLevel="0" collapsed="false">
      <c r="A2" s="5" t="n">
        <v>1</v>
      </c>
      <c r="B2" s="6" t="s">
        <v>2</v>
      </c>
      <c r="C2" s="7"/>
      <c r="D2" s="8" t="s">
        <v>3</v>
      </c>
      <c r="E2" s="8"/>
      <c r="F2" s="9" t="str">
        <f aca="false">"R" &amp; D5 &amp; "V" &amp; RIGHT(C13,6)</f>
        <v>RV001003</v>
      </c>
      <c r="G2" s="2"/>
      <c r="H2" s="2"/>
      <c r="I2" s="2"/>
      <c r="J2" s="2"/>
      <c r="K2" s="3"/>
      <c r="L2" s="10" t="s">
        <v>4</v>
      </c>
      <c r="M2" s="11" t="s">
        <v>5</v>
      </c>
      <c r="N2" s="3"/>
      <c r="O2" s="12" t="s">
        <v>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24" hidden="false" customHeight="true" outlineLevel="0" collapsed="false">
      <c r="A3" s="13" t="s">
        <v>7</v>
      </c>
      <c r="B3" s="13"/>
      <c r="C3" s="13"/>
      <c r="D3" s="13"/>
      <c r="E3" s="13"/>
      <c r="F3" s="13"/>
      <c r="G3" s="14"/>
      <c r="H3" s="15"/>
      <c r="I3" s="15"/>
      <c r="J3" s="15"/>
      <c r="K3" s="3"/>
      <c r="L3" s="16" t="s">
        <v>8</v>
      </c>
      <c r="M3" s="16" t="s">
        <v>8</v>
      </c>
      <c r="N3" s="3"/>
      <c r="O3" s="12" t="s">
        <v>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9.5" hidden="false" customHeight="true" outlineLevel="0" collapsed="false">
      <c r="A4" s="17" t="n">
        <v>2</v>
      </c>
      <c r="B4" s="18" t="s">
        <v>10</v>
      </c>
      <c r="C4" s="18"/>
      <c r="D4" s="19"/>
      <c r="E4" s="19"/>
      <c r="F4" s="19"/>
      <c r="G4" s="14"/>
      <c r="H4" s="15"/>
      <c r="I4" s="15"/>
      <c r="J4" s="15"/>
      <c r="K4" s="3"/>
      <c r="L4" s="16" t="s">
        <v>11</v>
      </c>
      <c r="M4" s="16" t="s">
        <v>12</v>
      </c>
      <c r="N4" s="3"/>
      <c r="O4" s="12" t="s">
        <v>13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9.5" hidden="false" customHeight="true" outlineLevel="0" collapsed="false">
      <c r="A5" s="20" t="n">
        <v>3</v>
      </c>
      <c r="B5" s="21" t="s">
        <v>14</v>
      </c>
      <c r="C5" s="21"/>
      <c r="D5" s="22"/>
      <c r="E5" s="22"/>
      <c r="F5" s="22"/>
      <c r="G5" s="14"/>
      <c r="H5" s="15"/>
      <c r="I5" s="15"/>
      <c r="J5" s="15"/>
      <c r="K5" s="3"/>
      <c r="L5" s="16" t="s">
        <v>15</v>
      </c>
      <c r="M5" s="16" t="s">
        <v>16</v>
      </c>
      <c r="N5" s="3"/>
      <c r="O5" s="12" t="s">
        <v>17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9.5" hidden="false" customHeight="true" outlineLevel="0" collapsed="false">
      <c r="A6" s="20" t="n">
        <v>4</v>
      </c>
      <c r="B6" s="21" t="s">
        <v>18</v>
      </c>
      <c r="C6" s="21"/>
      <c r="D6" s="22"/>
      <c r="E6" s="22"/>
      <c r="F6" s="22"/>
      <c r="G6" s="14"/>
      <c r="H6" s="23" t="s">
        <v>19</v>
      </c>
      <c r="I6" s="24"/>
      <c r="J6" s="24"/>
      <c r="K6" s="3"/>
      <c r="L6" s="16" t="s">
        <v>20</v>
      </c>
      <c r="M6" s="16" t="s">
        <v>21</v>
      </c>
      <c r="N6" s="3"/>
      <c r="O6" s="12" t="s">
        <v>22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9.5" hidden="false" customHeight="true" outlineLevel="0" collapsed="false">
      <c r="A7" s="20" t="n">
        <v>5</v>
      </c>
      <c r="B7" s="21" t="s">
        <v>23</v>
      </c>
      <c r="C7" s="21"/>
      <c r="D7" s="22"/>
      <c r="E7" s="22"/>
      <c r="F7" s="22"/>
      <c r="G7" s="14"/>
      <c r="H7" s="25" t="s">
        <v>24</v>
      </c>
      <c r="I7" s="25"/>
      <c r="J7" s="25"/>
      <c r="K7" s="3"/>
      <c r="L7" s="16" t="s">
        <v>25</v>
      </c>
      <c r="M7" s="26" t="s">
        <v>26</v>
      </c>
      <c r="N7" s="3"/>
      <c r="O7" s="12" t="s">
        <v>27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9.5" hidden="false" customHeight="true" outlineLevel="0" collapsed="false">
      <c r="A8" s="27" t="n">
        <v>6</v>
      </c>
      <c r="B8" s="28" t="s">
        <v>28</v>
      </c>
      <c r="C8" s="28"/>
      <c r="D8" s="29"/>
      <c r="E8" s="29"/>
      <c r="F8" s="29"/>
      <c r="G8" s="14"/>
      <c r="H8" s="25"/>
      <c r="I8" s="25"/>
      <c r="J8" s="25"/>
      <c r="K8" s="3"/>
      <c r="L8" s="16" t="s">
        <v>29</v>
      </c>
      <c r="M8" s="26" t="s">
        <v>30</v>
      </c>
      <c r="N8" s="3"/>
      <c r="O8" s="12" t="s">
        <v>31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24" hidden="false" customHeight="true" outlineLevel="0" collapsed="false">
      <c r="A9" s="30" t="s">
        <v>32</v>
      </c>
      <c r="B9" s="30"/>
      <c r="C9" s="30"/>
      <c r="D9" s="30"/>
      <c r="E9" s="30"/>
      <c r="F9" s="30"/>
      <c r="G9" s="14"/>
      <c r="H9" s="31" t="s">
        <v>33</v>
      </c>
      <c r="I9" s="32"/>
      <c r="J9" s="33" t="b">
        <v>0</v>
      </c>
      <c r="K9" s="3"/>
      <c r="L9" s="16" t="s">
        <v>34</v>
      </c>
      <c r="M9" s="3"/>
      <c r="N9" s="3"/>
      <c r="O9" s="12" t="s">
        <v>35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8" hidden="false" customHeight="true" outlineLevel="0" collapsed="false">
      <c r="A10" s="17" t="n">
        <v>7</v>
      </c>
      <c r="B10" s="18" t="s">
        <v>36</v>
      </c>
      <c r="C10" s="18"/>
      <c r="D10" s="34" t="n">
        <v>8</v>
      </c>
      <c r="E10" s="18" t="s">
        <v>37</v>
      </c>
      <c r="F10" s="35"/>
      <c r="G10" s="14"/>
      <c r="H10" s="36" t="s">
        <v>38</v>
      </c>
      <c r="I10" s="37" t="n">
        <f aca="false">IF(J9,"NO CORRESPONDE",ROUND(I11,J11))</f>
        <v>0</v>
      </c>
      <c r="J10" s="38" t="s">
        <v>39</v>
      </c>
      <c r="K10" s="3"/>
      <c r="L10" s="16" t="s">
        <v>40</v>
      </c>
      <c r="M10" s="3"/>
      <c r="N10" s="3"/>
      <c r="O10" s="12" t="s">
        <v>41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8" hidden="false" customHeight="true" outlineLevel="0" collapsed="false">
      <c r="A11" s="20" t="n">
        <v>9</v>
      </c>
      <c r="B11" s="21" t="s">
        <v>42</v>
      </c>
      <c r="C11" s="21"/>
      <c r="D11" s="39" t="n">
        <v>10</v>
      </c>
      <c r="E11" s="21" t="s">
        <v>43</v>
      </c>
      <c r="F11" s="40"/>
      <c r="G11" s="14"/>
      <c r="H11" s="41" t="s">
        <v>44</v>
      </c>
      <c r="I11" s="42" t="n">
        <f aca="false">SUM(I12*J12,I13*J13,I14*J14,I15*J17)</f>
        <v>0</v>
      </c>
      <c r="J11" s="38" t="n">
        <v>0</v>
      </c>
      <c r="K11" s="3"/>
      <c r="L11" s="16" t="s">
        <v>45</v>
      </c>
      <c r="M11" s="3"/>
      <c r="N11" s="3"/>
      <c r="O11" s="12" t="s">
        <v>46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8" hidden="false" customHeight="true" outlineLevel="0" collapsed="false">
      <c r="A12" s="20" t="n">
        <v>11</v>
      </c>
      <c r="B12" s="21" t="s">
        <v>47</v>
      </c>
      <c r="C12" s="43" t="s">
        <v>195</v>
      </c>
      <c r="D12" s="39" t="n">
        <v>12</v>
      </c>
      <c r="E12" s="21" t="s">
        <v>49</v>
      </c>
      <c r="F12" s="40"/>
      <c r="G12" s="14"/>
      <c r="H12" s="44" t="s">
        <v>50</v>
      </c>
      <c r="I12" s="45"/>
      <c r="J12" s="38" t="n">
        <v>1</v>
      </c>
      <c r="K12" s="3"/>
      <c r="L12" s="16" t="s">
        <v>51</v>
      </c>
      <c r="M12" s="3"/>
      <c r="N12" s="3"/>
      <c r="O12" s="12" t="s">
        <v>52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8" hidden="false" customHeight="true" outlineLevel="0" collapsed="false">
      <c r="A13" s="20" t="n">
        <v>13</v>
      </c>
      <c r="B13" s="21" t="s">
        <v>53</v>
      </c>
      <c r="C13" s="46" t="str">
        <f aca="false">IF(ISBLANK(I6), C12, I6)</f>
        <v>ABCDE1234WX001003</v>
      </c>
      <c r="D13" s="39" t="n">
        <v>14</v>
      </c>
      <c r="E13" s="21" t="s">
        <v>54</v>
      </c>
      <c r="F13" s="35"/>
      <c r="G13" s="14"/>
      <c r="H13" s="47" t="s">
        <v>55</v>
      </c>
      <c r="I13" s="48"/>
      <c r="J13" s="38" t="n">
        <v>1.609344</v>
      </c>
      <c r="K13" s="3"/>
      <c r="L13" s="16" t="s">
        <v>56</v>
      </c>
      <c r="M13" s="3"/>
      <c r="N13" s="3"/>
      <c r="O13" s="49" t="s">
        <v>57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8" hidden="false" customHeight="true" outlineLevel="0" collapsed="false">
      <c r="A14" s="20" t="n">
        <v>15</v>
      </c>
      <c r="B14" s="21" t="s">
        <v>58</v>
      </c>
      <c r="C14" s="21"/>
      <c r="D14" s="39" t="n">
        <v>16</v>
      </c>
      <c r="E14" s="21" t="s">
        <v>59</v>
      </c>
      <c r="F14" s="40"/>
      <c r="G14" s="14"/>
      <c r="H14" s="41" t="s">
        <v>60</v>
      </c>
      <c r="I14" s="50"/>
      <c r="J14" s="38" t="n">
        <v>1.853184</v>
      </c>
      <c r="K14" s="3"/>
      <c r="L14" s="16" t="s">
        <v>61</v>
      </c>
      <c r="M14" s="3"/>
      <c r="N14" s="3"/>
      <c r="O14" s="3" t="str">
        <f aca="false">CHOOSE(MONTH(J75),O2,O3,O4,O5,O6,O7,O8,O9,O10,O11,O12,O13)</f>
        <v>Diciembre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8" hidden="false" customHeight="true" outlineLevel="0" collapsed="false">
      <c r="A15" s="20" t="n">
        <v>17</v>
      </c>
      <c r="B15" s="21" t="s">
        <v>62</v>
      </c>
      <c r="C15" s="51"/>
      <c r="D15" s="39" t="n">
        <v>18</v>
      </c>
      <c r="E15" s="21" t="s">
        <v>63</v>
      </c>
      <c r="F15" s="40"/>
      <c r="G15" s="14"/>
      <c r="H15" s="41" t="s">
        <v>44</v>
      </c>
      <c r="I15" s="52" t="n">
        <f aca="false">SUM(I17/60,H17)</f>
        <v>0</v>
      </c>
      <c r="J15" s="38" t="s">
        <v>64</v>
      </c>
      <c r="K15" s="3"/>
      <c r="L15" s="16" t="s">
        <v>65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8" hidden="false" customHeight="true" outlineLevel="0" collapsed="false">
      <c r="A16" s="20" t="n">
        <v>19</v>
      </c>
      <c r="B16" s="21" t="s">
        <v>66</v>
      </c>
      <c r="C16" s="21"/>
      <c r="D16" s="39" t="n">
        <v>20</v>
      </c>
      <c r="E16" s="21" t="s">
        <v>67</v>
      </c>
      <c r="F16" s="40"/>
      <c r="G16" s="14"/>
      <c r="H16" s="41" t="s">
        <v>68</v>
      </c>
      <c r="I16" s="53" t="s">
        <v>69</v>
      </c>
      <c r="J16" s="54" t="s">
        <v>70</v>
      </c>
      <c r="K16" s="3"/>
      <c r="L16" s="16" t="s">
        <v>71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8" hidden="false" customHeight="true" outlineLevel="0" collapsed="false">
      <c r="A17" s="20" t="n">
        <v>21</v>
      </c>
      <c r="B17" s="21" t="s">
        <v>72</v>
      </c>
      <c r="C17" s="21"/>
      <c r="D17" s="39" t="n">
        <v>22</v>
      </c>
      <c r="E17" s="21" t="s">
        <v>73</v>
      </c>
      <c r="F17" s="40"/>
      <c r="G17" s="14"/>
      <c r="H17" s="55" t="n">
        <v>0</v>
      </c>
      <c r="I17" s="56" t="n">
        <v>0</v>
      </c>
      <c r="J17" s="57" t="n">
        <v>0</v>
      </c>
      <c r="K17" s="3"/>
      <c r="L17" s="16" t="s">
        <v>74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8" hidden="false" customHeight="true" outlineLevel="0" collapsed="false">
      <c r="A18" s="20" t="n">
        <v>23</v>
      </c>
      <c r="B18" s="21" t="s">
        <v>75</v>
      </c>
      <c r="C18" s="21"/>
      <c r="D18" s="39" t="n">
        <v>24</v>
      </c>
      <c r="E18" s="21" t="s">
        <v>76</v>
      </c>
      <c r="F18" s="40"/>
      <c r="G18" s="14"/>
      <c r="H18" s="58"/>
      <c r="I18" s="58"/>
      <c r="J18" s="58"/>
      <c r="K18" s="3"/>
      <c r="L18" s="16" t="s">
        <v>77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8" hidden="false" customHeight="true" outlineLevel="0" collapsed="false">
      <c r="A19" s="20" t="n">
        <v>25</v>
      </c>
      <c r="B19" s="21" t="s">
        <v>33</v>
      </c>
      <c r="C19" s="21" t="n">
        <f aca="false">I10</f>
        <v>0</v>
      </c>
      <c r="D19" s="39" t="n">
        <v>26</v>
      </c>
      <c r="E19" s="21" t="s">
        <v>78</v>
      </c>
      <c r="F19" s="59"/>
      <c r="G19" s="14"/>
      <c r="H19" s="58"/>
      <c r="I19" s="58"/>
      <c r="J19" s="58"/>
      <c r="K19" s="3"/>
      <c r="L19" s="16" t="s">
        <v>79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8" hidden="false" customHeight="true" outlineLevel="0" collapsed="false">
      <c r="A20" s="27" t="n">
        <v>27</v>
      </c>
      <c r="B20" s="28" t="s">
        <v>80</v>
      </c>
      <c r="C20" s="60"/>
      <c r="D20" s="60"/>
      <c r="E20" s="60"/>
      <c r="F20" s="60"/>
      <c r="G20" s="14"/>
      <c r="H20" s="58"/>
      <c r="I20" s="58"/>
      <c r="J20" s="58"/>
      <c r="K20" s="3"/>
      <c r="L20" s="16" t="s">
        <v>81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24" hidden="false" customHeight="true" outlineLevel="0" collapsed="false">
      <c r="A21" s="30" t="s">
        <v>82</v>
      </c>
      <c r="B21" s="30"/>
      <c r="C21" s="30"/>
      <c r="D21" s="30"/>
      <c r="E21" s="30"/>
      <c r="F21" s="30"/>
      <c r="G21" s="14"/>
      <c r="H21" s="61" t="s">
        <v>83</v>
      </c>
      <c r="I21" s="62" t="s">
        <v>84</v>
      </c>
      <c r="J21" s="63"/>
      <c r="K21" s="3"/>
      <c r="L21" s="16" t="s">
        <v>85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8" hidden="false" customHeight="true" outlineLevel="0" collapsed="false">
      <c r="A22" s="17" t="n">
        <v>28</v>
      </c>
      <c r="B22" s="18" t="s">
        <v>86</v>
      </c>
      <c r="C22" s="64"/>
      <c r="D22" s="34" t="n">
        <v>29</v>
      </c>
      <c r="E22" s="18" t="s">
        <v>87</v>
      </c>
      <c r="F22" s="65"/>
      <c r="G22" s="14"/>
      <c r="H22" s="66"/>
      <c r="I22" s="62"/>
      <c r="J22" s="67"/>
      <c r="K22" s="3"/>
      <c r="L22" s="16" t="s">
        <v>88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8" hidden="false" customHeight="true" outlineLevel="0" collapsed="false">
      <c r="A23" s="20" t="n">
        <v>30</v>
      </c>
      <c r="B23" s="21" t="s">
        <v>89</v>
      </c>
      <c r="C23" s="68"/>
      <c r="D23" s="39" t="n">
        <v>31</v>
      </c>
      <c r="E23" s="21" t="s">
        <v>90</v>
      </c>
      <c r="F23" s="69"/>
      <c r="G23" s="14"/>
      <c r="H23" s="70"/>
      <c r="I23" s="71" t="s">
        <v>91</v>
      </c>
      <c r="J23" s="67"/>
      <c r="K23" s="3"/>
      <c r="L23" s="16" t="s">
        <v>92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8" hidden="false" customHeight="true" outlineLevel="0" collapsed="false">
      <c r="A24" s="20" t="n">
        <v>32</v>
      </c>
      <c r="B24" s="21" t="s">
        <v>93</v>
      </c>
      <c r="C24" s="68"/>
      <c r="D24" s="39" t="n">
        <v>33</v>
      </c>
      <c r="E24" s="21" t="s">
        <v>94</v>
      </c>
      <c r="F24" s="69"/>
      <c r="G24" s="14"/>
      <c r="H24" s="72" t="s">
        <v>44</v>
      </c>
      <c r="I24" s="73" t="n">
        <f aca="false">ROUND(IF(ISBLANK(I25), IF(ISBLANK(I26), IF(ISBLANK(I27), 0, I27*J27), I26*J26), I25),0)</f>
        <v>0</v>
      </c>
      <c r="J24" s="67"/>
      <c r="K24" s="3"/>
      <c r="L24" s="26" t="s">
        <v>95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8" hidden="false" customHeight="true" outlineLevel="0" collapsed="false">
      <c r="A25" s="20" t="n">
        <v>34</v>
      </c>
      <c r="B25" s="21" t="s">
        <v>96</v>
      </c>
      <c r="C25" s="68"/>
      <c r="D25" s="39" t="n">
        <v>35</v>
      </c>
      <c r="E25" s="21" t="s">
        <v>97</v>
      </c>
      <c r="F25" s="69"/>
      <c r="G25" s="14"/>
      <c r="H25" s="72" t="s">
        <v>98</v>
      </c>
      <c r="I25" s="45"/>
      <c r="J25" s="67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8" hidden="false" customHeight="true" outlineLevel="0" collapsed="false">
      <c r="A26" s="20" t="n">
        <v>36</v>
      </c>
      <c r="B26" s="21" t="s">
        <v>99</v>
      </c>
      <c r="C26" s="21"/>
      <c r="D26" s="39" t="n">
        <v>37</v>
      </c>
      <c r="E26" s="21" t="s">
        <v>100</v>
      </c>
      <c r="F26" s="40"/>
      <c r="G26" s="14"/>
      <c r="H26" s="72" t="s">
        <v>101</v>
      </c>
      <c r="I26" s="48"/>
      <c r="J26" s="38" t="n">
        <v>0.7456999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8" hidden="false" customHeight="true" outlineLevel="0" collapsed="false">
      <c r="A27" s="20" t="n">
        <v>38</v>
      </c>
      <c r="B27" s="21" t="s">
        <v>102</v>
      </c>
      <c r="C27" s="21"/>
      <c r="D27" s="39" t="n">
        <v>39</v>
      </c>
      <c r="E27" s="21" t="s">
        <v>103</v>
      </c>
      <c r="F27" s="40"/>
      <c r="G27" s="14"/>
      <c r="H27" s="72" t="s">
        <v>104</v>
      </c>
      <c r="I27" s="50"/>
      <c r="J27" s="38" t="n">
        <v>0.735498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36" hidden="false" customHeight="true" outlineLevel="0" collapsed="false">
      <c r="A28" s="20" t="n">
        <v>40</v>
      </c>
      <c r="B28" s="21" t="s">
        <v>105</v>
      </c>
      <c r="C28" s="21"/>
      <c r="D28" s="39" t="n">
        <v>41</v>
      </c>
      <c r="E28" s="21" t="s">
        <v>106</v>
      </c>
      <c r="F28" s="40"/>
      <c r="G28" s="14"/>
      <c r="H28" s="72" t="s">
        <v>107</v>
      </c>
      <c r="I28" s="74" t="b">
        <v>1</v>
      </c>
      <c r="J28" s="67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36" hidden="false" customHeight="true" outlineLevel="0" collapsed="false">
      <c r="A29" s="20" t="n">
        <v>42</v>
      </c>
      <c r="B29" s="21" t="s">
        <v>108</v>
      </c>
      <c r="C29" s="21"/>
      <c r="D29" s="39" t="n">
        <v>43</v>
      </c>
      <c r="E29" s="21" t="s">
        <v>109</v>
      </c>
      <c r="F29" s="40"/>
      <c r="G29" s="14"/>
      <c r="H29" s="75" t="s">
        <v>110</v>
      </c>
      <c r="I29" s="75"/>
      <c r="J29" s="75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36" hidden="false" customHeight="true" outlineLevel="0" collapsed="false">
      <c r="A30" s="20" t="n">
        <v>44</v>
      </c>
      <c r="B30" s="21" t="s">
        <v>111</v>
      </c>
      <c r="C30" s="21"/>
      <c r="D30" s="39" t="n">
        <v>45</v>
      </c>
      <c r="E30" s="21" t="s">
        <v>112</v>
      </c>
      <c r="F30" s="76" t="str">
        <f aca="false">IF(I28,"NO CORRESPONDE",I24*1000/(F26+IF(ISNUMBER(C31),C31*1000,0)))</f>
        <v>NO CORRESPONDE</v>
      </c>
      <c r="G30" s="14"/>
      <c r="H30" s="14"/>
      <c r="I30" s="75"/>
      <c r="J30" s="75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8" hidden="false" customHeight="true" outlineLevel="0" collapsed="false">
      <c r="A31" s="27" t="n">
        <v>46</v>
      </c>
      <c r="B31" s="28" t="s">
        <v>113</v>
      </c>
      <c r="C31" s="28"/>
      <c r="D31" s="77"/>
      <c r="E31" s="77"/>
      <c r="F31" s="77"/>
      <c r="G31" s="14"/>
      <c r="H31" s="14"/>
      <c r="I31" s="75"/>
      <c r="J31" s="75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24" hidden="false" customHeight="true" outlineLevel="0" collapsed="false">
      <c r="A32" s="30" t="s">
        <v>114</v>
      </c>
      <c r="B32" s="30"/>
      <c r="C32" s="30"/>
      <c r="D32" s="30"/>
      <c r="E32" s="30"/>
      <c r="F32" s="30"/>
      <c r="G32" s="14"/>
      <c r="H32" s="14"/>
      <c r="I32" s="75"/>
      <c r="J32" s="75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8" hidden="false" customHeight="true" outlineLevel="0" collapsed="false">
      <c r="A33" s="17" t="n">
        <v>47</v>
      </c>
      <c r="B33" s="18" t="s">
        <v>115</v>
      </c>
      <c r="C33" s="78"/>
      <c r="D33" s="78"/>
      <c r="E33" s="78"/>
      <c r="F33" s="78"/>
      <c r="G33" s="14"/>
      <c r="H33" s="14"/>
      <c r="I33" s="75"/>
      <c r="J33" s="75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8" hidden="false" customHeight="true" outlineLevel="0" collapsed="false">
      <c r="A34" s="20" t="n">
        <v>48</v>
      </c>
      <c r="B34" s="21" t="s">
        <v>116</v>
      </c>
      <c r="C34" s="40"/>
      <c r="D34" s="40"/>
      <c r="E34" s="40"/>
      <c r="F34" s="40"/>
      <c r="G34" s="14"/>
      <c r="H34" s="14"/>
      <c r="I34" s="75"/>
      <c r="J34" s="75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8" hidden="false" customHeight="true" outlineLevel="0" collapsed="false">
      <c r="A35" s="20" t="n">
        <v>49</v>
      </c>
      <c r="B35" s="21" t="s">
        <v>117</v>
      </c>
      <c r="C35" s="21"/>
      <c r="D35" s="39" t="n">
        <v>50</v>
      </c>
      <c r="E35" s="21" t="s">
        <v>118</v>
      </c>
      <c r="F35" s="40"/>
      <c r="G35" s="14"/>
      <c r="H35" s="14"/>
      <c r="I35" s="75"/>
      <c r="J35" s="75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8" hidden="false" customHeight="true" outlineLevel="0" collapsed="false">
      <c r="A36" s="20" t="n">
        <v>51</v>
      </c>
      <c r="B36" s="21" t="s">
        <v>119</v>
      </c>
      <c r="C36" s="21"/>
      <c r="D36" s="39" t="n">
        <v>52</v>
      </c>
      <c r="E36" s="21" t="s">
        <v>120</v>
      </c>
      <c r="F36" s="40"/>
      <c r="G36" s="14"/>
      <c r="H36" s="79"/>
      <c r="I36" s="79"/>
      <c r="J36" s="79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8" hidden="false" customHeight="true" outlineLevel="0" collapsed="false">
      <c r="A37" s="20" t="n">
        <v>53</v>
      </c>
      <c r="B37" s="21" t="s">
        <v>121</v>
      </c>
      <c r="C37" s="40"/>
      <c r="D37" s="40"/>
      <c r="E37" s="40"/>
      <c r="F37" s="40"/>
      <c r="G37" s="14"/>
      <c r="H37" s="58"/>
      <c r="I37" s="58"/>
      <c r="J37" s="58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8" hidden="false" customHeight="true" outlineLevel="0" collapsed="false">
      <c r="A38" s="20" t="n">
        <v>54</v>
      </c>
      <c r="B38" s="21" t="s">
        <v>122</v>
      </c>
      <c r="C38" s="80"/>
      <c r="D38" s="80"/>
      <c r="E38" s="80"/>
      <c r="F38" s="80"/>
      <c r="G38" s="14"/>
      <c r="H38" s="58"/>
      <c r="I38" s="58"/>
      <c r="J38" s="58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8" hidden="false" customHeight="true" outlineLevel="0" collapsed="false">
      <c r="A39" s="20" t="n">
        <v>55</v>
      </c>
      <c r="B39" s="21" t="s">
        <v>123</v>
      </c>
      <c r="C39" s="21"/>
      <c r="D39" s="39" t="n">
        <v>56</v>
      </c>
      <c r="E39" s="21" t="s">
        <v>124</v>
      </c>
      <c r="F39" s="40"/>
      <c r="G39" s="14"/>
      <c r="H39" s="58"/>
      <c r="I39" s="58"/>
      <c r="J39" s="58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8" hidden="false" customHeight="true" outlineLevel="0" collapsed="false">
      <c r="A40" s="20" t="n">
        <v>57</v>
      </c>
      <c r="B40" s="21" t="s">
        <v>125</v>
      </c>
      <c r="C40" s="21"/>
      <c r="D40" s="39" t="n">
        <v>58</v>
      </c>
      <c r="E40" s="21" t="s">
        <v>126</v>
      </c>
      <c r="F40" s="40"/>
      <c r="G40" s="14"/>
      <c r="H40" s="58"/>
      <c r="I40" s="58"/>
      <c r="J40" s="58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36" hidden="false" customHeight="true" outlineLevel="0" collapsed="false">
      <c r="A41" s="20" t="n">
        <v>59</v>
      </c>
      <c r="B41" s="21" t="s">
        <v>127</v>
      </c>
      <c r="C41" s="81"/>
      <c r="D41" s="39" t="n">
        <v>60</v>
      </c>
      <c r="E41" s="21" t="s">
        <v>128</v>
      </c>
      <c r="F41" s="40"/>
      <c r="G41" s="14"/>
      <c r="H41" s="58"/>
      <c r="I41" s="58"/>
      <c r="J41" s="58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36" hidden="false" customHeight="true" outlineLevel="0" collapsed="false">
      <c r="A42" s="27" t="n">
        <v>61</v>
      </c>
      <c r="B42" s="28" t="s">
        <v>129</v>
      </c>
      <c r="C42" s="82" t="str">
        <f aca="false">IF(ISNUMBER(I43),ROUND(I43,0),I43)</f>
        <v>NO CORRESPONDE</v>
      </c>
      <c r="D42" s="83" t="n">
        <v>62</v>
      </c>
      <c r="E42" s="28" t="s">
        <v>130</v>
      </c>
      <c r="F42" s="84"/>
      <c r="G42" s="14"/>
      <c r="H42" s="85" t="s">
        <v>131</v>
      </c>
      <c r="I42" s="85"/>
      <c r="J42" s="86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24" hidden="false" customHeight="true" outlineLevel="0" collapsed="false">
      <c r="A43" s="30" t="s">
        <v>132</v>
      </c>
      <c r="B43" s="30"/>
      <c r="C43" s="30"/>
      <c r="D43" s="30"/>
      <c r="E43" s="30"/>
      <c r="F43" s="30"/>
      <c r="G43" s="14"/>
      <c r="H43" s="72" t="s">
        <v>44</v>
      </c>
      <c r="I43" s="87" t="str">
        <f aca="false">IF(ISBLANK(I44), IF(ISBLANK(I45), IF(ISBLANK(I46), "NO CORRESPONDE", I46*J46), I45*J45), I44)</f>
        <v>NO CORRESPONDE</v>
      </c>
      <c r="J43" s="86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8" hidden="false" customHeight="true" outlineLevel="0" collapsed="false">
      <c r="A44" s="17" t="n">
        <v>63</v>
      </c>
      <c r="B44" s="18" t="s">
        <v>133</v>
      </c>
      <c r="C44" s="18"/>
      <c r="D44" s="34" t="n">
        <v>64</v>
      </c>
      <c r="E44" s="18" t="s">
        <v>134</v>
      </c>
      <c r="F44" s="35"/>
      <c r="G44" s="14"/>
      <c r="H44" s="72" t="s">
        <v>135</v>
      </c>
      <c r="I44" s="45"/>
      <c r="J44" s="86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8" hidden="false" customHeight="true" outlineLevel="0" collapsed="false">
      <c r="A45" s="20" t="n">
        <v>65</v>
      </c>
      <c r="B45" s="21" t="s">
        <v>136</v>
      </c>
      <c r="C45" s="21"/>
      <c r="D45" s="39" t="n">
        <v>66</v>
      </c>
      <c r="E45" s="21" t="s">
        <v>137</v>
      </c>
      <c r="F45" s="40"/>
      <c r="G45" s="14"/>
      <c r="H45" s="72" t="s">
        <v>138</v>
      </c>
      <c r="I45" s="48"/>
      <c r="J45" s="38" t="n">
        <v>3.785412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8" hidden="false" customHeight="true" outlineLevel="0" collapsed="false">
      <c r="A46" s="20" t="n">
        <v>67</v>
      </c>
      <c r="B46" s="21" t="s">
        <v>139</v>
      </c>
      <c r="C46" s="21" t="n">
        <f aca="false">I49</f>
        <v>0</v>
      </c>
      <c r="D46" s="39" t="n">
        <v>68</v>
      </c>
      <c r="E46" s="21" t="s">
        <v>140</v>
      </c>
      <c r="F46" s="40"/>
      <c r="G46" s="14"/>
      <c r="H46" s="88" t="s">
        <v>141</v>
      </c>
      <c r="I46" s="89"/>
      <c r="J46" s="90" t="n">
        <v>4.546092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8" hidden="false" customHeight="true" outlineLevel="0" collapsed="false">
      <c r="A47" s="20" t="n">
        <v>69</v>
      </c>
      <c r="B47" s="21" t="s">
        <v>142</v>
      </c>
      <c r="C47" s="21"/>
      <c r="D47" s="39" t="n">
        <v>70</v>
      </c>
      <c r="E47" s="21" t="s">
        <v>143</v>
      </c>
      <c r="F47" s="40" t="str">
        <f aca="false">IF(ISNUMBER(H22), I24 &amp; " kW. @ " &amp; H22 &amp; " rpm", "NO CORRESPONDE")</f>
        <v>NO CORRESPONDE</v>
      </c>
      <c r="G47" s="14"/>
      <c r="H47" s="91"/>
      <c r="I47" s="91"/>
      <c r="J47" s="91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8" hidden="false" customHeight="true" outlineLevel="0" collapsed="false">
      <c r="A48" s="92" t="n">
        <v>71</v>
      </c>
      <c r="B48" s="93" t="s">
        <v>144</v>
      </c>
      <c r="C48" s="93"/>
      <c r="D48" s="94" t="n">
        <v>72</v>
      </c>
      <c r="E48" s="95" t="s">
        <v>145</v>
      </c>
      <c r="F48" s="60"/>
      <c r="G48" s="14"/>
      <c r="H48" s="61" t="s">
        <v>146</v>
      </c>
      <c r="I48" s="96"/>
      <c r="J48" s="97" t="b"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24" hidden="false" customHeight="true" outlineLevel="0" collapsed="false">
      <c r="A49" s="30" t="s">
        <v>147</v>
      </c>
      <c r="B49" s="30"/>
      <c r="C49" s="30"/>
      <c r="D49" s="30"/>
      <c r="E49" s="30"/>
      <c r="F49" s="30"/>
      <c r="G49" s="14"/>
      <c r="H49" s="72" t="s">
        <v>44</v>
      </c>
      <c r="I49" s="87" t="n">
        <f aca="false">IF(J48, "NO CORRESPONDE", SUM(J50:J52))</f>
        <v>0</v>
      </c>
      <c r="J49" s="38" t="s">
        <v>148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8" hidden="false" customHeight="true" outlineLevel="0" collapsed="false">
      <c r="A50" s="17" t="n">
        <v>73</v>
      </c>
      <c r="B50" s="18" t="s">
        <v>149</v>
      </c>
      <c r="C50" s="18"/>
      <c r="D50" s="98" t="n">
        <v>74</v>
      </c>
      <c r="E50" s="98" t="s">
        <v>150</v>
      </c>
      <c r="F50" s="35"/>
      <c r="G50" s="14"/>
      <c r="H50" s="72" t="s">
        <v>151</v>
      </c>
      <c r="I50" s="45"/>
      <c r="J50" s="38" t="n">
        <f aca="false">I50*1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8" hidden="false" customHeight="true" outlineLevel="0" collapsed="false">
      <c r="A51" s="20" t="n">
        <v>75</v>
      </c>
      <c r="B51" s="21" t="s">
        <v>152</v>
      </c>
      <c r="C51" s="21"/>
      <c r="D51" s="39" t="n">
        <v>76</v>
      </c>
      <c r="E51" s="21" t="s">
        <v>153</v>
      </c>
      <c r="F51" s="99"/>
      <c r="G51" s="14"/>
      <c r="H51" s="72" t="s">
        <v>154</v>
      </c>
      <c r="I51" s="48"/>
      <c r="J51" s="38" t="n">
        <f aca="false">I51*1000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8" hidden="false" customHeight="true" outlineLevel="0" collapsed="false">
      <c r="A52" s="20" t="n">
        <v>77</v>
      </c>
      <c r="B52" s="21" t="s">
        <v>155</v>
      </c>
      <c r="C52" s="100"/>
      <c r="D52" s="39" t="n">
        <v>78</v>
      </c>
      <c r="E52" s="21" t="s">
        <v>156</v>
      </c>
      <c r="F52" s="99" t="str">
        <f aca="false">IF(AND(ISNUMBER(F51), ISNUMBER(C52)), SUM(F51,C52), "NO CORRESPONDE")</f>
        <v>NO CORRESPONDE</v>
      </c>
      <c r="G52" s="14"/>
      <c r="H52" s="88" t="s">
        <v>157</v>
      </c>
      <c r="I52" s="50"/>
      <c r="J52" s="90" t="n">
        <f aca="false">I52*16.3871</f>
        <v>0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8" hidden="false" customHeight="true" outlineLevel="0" collapsed="false">
      <c r="A53" s="20" t="n">
        <v>79</v>
      </c>
      <c r="B53" s="21" t="s">
        <v>158</v>
      </c>
      <c r="C53" s="100"/>
      <c r="D53" s="39" t="n">
        <v>80</v>
      </c>
      <c r="E53" s="21" t="s">
        <v>159</v>
      </c>
      <c r="F53" s="76"/>
      <c r="G53" s="14"/>
      <c r="H53" s="101"/>
      <c r="I53" s="101"/>
      <c r="J53" s="101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8" hidden="false" customHeight="true" outlineLevel="0" collapsed="false">
      <c r="A54" s="27" t="n">
        <v>81</v>
      </c>
      <c r="B54" s="28" t="s">
        <v>160</v>
      </c>
      <c r="C54" s="60"/>
      <c r="D54" s="60"/>
      <c r="E54" s="60"/>
      <c r="F54" s="60"/>
      <c r="G54" s="14"/>
      <c r="H54" s="101"/>
      <c r="I54" s="101"/>
      <c r="J54" s="101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24" hidden="false" customHeight="true" outlineLevel="0" collapsed="false">
      <c r="A55" s="30" t="s">
        <v>161</v>
      </c>
      <c r="B55" s="30"/>
      <c r="C55" s="30"/>
      <c r="D55" s="30"/>
      <c r="E55" s="30"/>
      <c r="F55" s="30"/>
      <c r="G55" s="14"/>
      <c r="H55" s="101"/>
      <c r="I55" s="101"/>
      <c r="J55" s="101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8" hidden="false" customHeight="true" outlineLevel="0" collapsed="false">
      <c r="A56" s="17" t="n">
        <v>82</v>
      </c>
      <c r="B56" s="18" t="s">
        <v>162</v>
      </c>
      <c r="C56" s="18"/>
      <c r="D56" s="34" t="n">
        <v>83</v>
      </c>
      <c r="E56" s="18" t="s">
        <v>163</v>
      </c>
      <c r="F56" s="35"/>
      <c r="G56" s="14"/>
      <c r="H56" s="101"/>
      <c r="I56" s="101"/>
      <c r="J56" s="101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8" hidden="false" customHeight="true" outlineLevel="0" collapsed="false">
      <c r="A57" s="27" t="n">
        <v>84</v>
      </c>
      <c r="B57" s="28" t="s">
        <v>164</v>
      </c>
      <c r="C57" s="28"/>
      <c r="D57" s="83" t="n">
        <v>85</v>
      </c>
      <c r="E57" s="28" t="s">
        <v>165</v>
      </c>
      <c r="F57" s="84"/>
      <c r="G57" s="14"/>
      <c r="H57" s="101"/>
      <c r="I57" s="101"/>
      <c r="J57" s="101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24" hidden="false" customHeight="true" outlineLevel="0" collapsed="false">
      <c r="A58" s="30" t="s">
        <v>166</v>
      </c>
      <c r="B58" s="30"/>
      <c r="C58" s="30"/>
      <c r="D58" s="30"/>
      <c r="E58" s="30"/>
      <c r="F58" s="30"/>
      <c r="G58" s="14"/>
      <c r="H58" s="101"/>
      <c r="I58" s="101"/>
      <c r="J58" s="101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8" hidden="false" customHeight="true" outlineLevel="0" collapsed="false">
      <c r="A59" s="17" t="n">
        <v>86</v>
      </c>
      <c r="B59" s="18" t="s">
        <v>167</v>
      </c>
      <c r="C59" s="78"/>
      <c r="D59" s="78"/>
      <c r="E59" s="78"/>
      <c r="F59" s="78"/>
      <c r="G59" s="14"/>
      <c r="H59" s="101"/>
      <c r="I59" s="101"/>
      <c r="J59" s="101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27" hidden="false" customHeight="true" outlineLevel="0" collapsed="false">
      <c r="A60" s="20" t="n">
        <v>87</v>
      </c>
      <c r="B60" s="21" t="s">
        <v>168</v>
      </c>
      <c r="C60" s="21"/>
      <c r="D60" s="39" t="n">
        <v>88</v>
      </c>
      <c r="E60" s="21" t="s">
        <v>169</v>
      </c>
      <c r="F60" s="40"/>
      <c r="G60" s="14"/>
      <c r="H60" s="101"/>
      <c r="I60" s="101"/>
      <c r="J60" s="101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8" hidden="false" customHeight="true" outlineLevel="0" collapsed="false">
      <c r="A61" s="20" t="n">
        <v>89</v>
      </c>
      <c r="B61" s="21" t="s">
        <v>170</v>
      </c>
      <c r="C61" s="21"/>
      <c r="D61" s="39" t="n">
        <v>90</v>
      </c>
      <c r="E61" s="21" t="s">
        <v>171</v>
      </c>
      <c r="F61" s="40"/>
      <c r="G61" s="14"/>
      <c r="H61" s="101"/>
      <c r="I61" s="101"/>
      <c r="J61" s="101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8" hidden="false" customHeight="true" outlineLevel="0" collapsed="false">
      <c r="A62" s="20" t="n">
        <v>91</v>
      </c>
      <c r="B62" s="21" t="s">
        <v>172</v>
      </c>
      <c r="C62" s="21"/>
      <c r="D62" s="39" t="n">
        <v>92</v>
      </c>
      <c r="E62" s="21" t="s">
        <v>173</v>
      </c>
      <c r="F62" s="40"/>
      <c r="G62" s="14"/>
      <c r="H62" s="101"/>
      <c r="I62" s="101"/>
      <c r="J62" s="101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8" hidden="false" customHeight="true" outlineLevel="0" collapsed="false">
      <c r="A63" s="20" t="n">
        <v>93</v>
      </c>
      <c r="B63" s="21" t="s">
        <v>174</v>
      </c>
      <c r="C63" s="21"/>
      <c r="D63" s="39" t="n">
        <v>94</v>
      </c>
      <c r="E63" s="21" t="s">
        <v>175</v>
      </c>
      <c r="F63" s="40"/>
      <c r="G63" s="14"/>
      <c r="H63" s="101"/>
      <c r="I63" s="101"/>
      <c r="J63" s="101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8" hidden="false" customHeight="true" outlineLevel="0" collapsed="false">
      <c r="A64" s="20" t="n">
        <v>95</v>
      </c>
      <c r="B64" s="21" t="s">
        <v>176</v>
      </c>
      <c r="C64" s="21"/>
      <c r="D64" s="39" t="n">
        <v>96</v>
      </c>
      <c r="E64" s="21" t="s">
        <v>177</v>
      </c>
      <c r="F64" s="40"/>
      <c r="G64" s="14"/>
      <c r="H64" s="101"/>
      <c r="I64" s="101"/>
      <c r="J64" s="101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8" hidden="false" customHeight="true" outlineLevel="0" collapsed="false">
      <c r="A65" s="27" t="n">
        <v>97</v>
      </c>
      <c r="B65" s="28" t="s">
        <v>178</v>
      </c>
      <c r="C65" s="60"/>
      <c r="D65" s="60"/>
      <c r="E65" s="60"/>
      <c r="F65" s="60"/>
      <c r="G65" s="14"/>
      <c r="H65" s="101"/>
      <c r="I65" s="101"/>
      <c r="J65" s="101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24" hidden="false" customHeight="true" outlineLevel="0" collapsed="false">
      <c r="A66" s="30" t="s">
        <v>179</v>
      </c>
      <c r="B66" s="30"/>
      <c r="C66" s="30"/>
      <c r="D66" s="30"/>
      <c r="E66" s="30"/>
      <c r="F66" s="30"/>
      <c r="G66" s="14"/>
      <c r="H66" s="101"/>
      <c r="I66" s="101"/>
      <c r="J66" s="101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2.75" hidden="false" customHeight="true" outlineLevel="0" collapsed="false">
      <c r="A67" s="17" t="n">
        <v>98</v>
      </c>
      <c r="B67" s="18" t="s">
        <v>180</v>
      </c>
      <c r="C67" s="18" t="s">
        <v>181</v>
      </c>
      <c r="D67" s="34" t="n">
        <v>99</v>
      </c>
      <c r="E67" s="18" t="s">
        <v>182</v>
      </c>
      <c r="F67" s="35" t="s">
        <v>181</v>
      </c>
      <c r="G67" s="14"/>
      <c r="H67" s="101"/>
      <c r="I67" s="101"/>
      <c r="J67" s="101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2.75" hidden="false" customHeight="true" outlineLevel="0" collapsed="false">
      <c r="A68" s="20" t="n">
        <v>100</v>
      </c>
      <c r="B68" s="21" t="s">
        <v>183</v>
      </c>
      <c r="C68" s="21" t="s">
        <v>181</v>
      </c>
      <c r="D68" s="39" t="n">
        <v>101</v>
      </c>
      <c r="E68" s="21" t="s">
        <v>184</v>
      </c>
      <c r="F68" s="40" t="s">
        <v>181</v>
      </c>
      <c r="G68" s="14"/>
      <c r="H68" s="101"/>
      <c r="I68" s="101"/>
      <c r="J68" s="101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2.75" hidden="false" customHeight="true" outlineLevel="0" collapsed="false">
      <c r="A69" s="20" t="n">
        <v>102</v>
      </c>
      <c r="B69" s="21" t="s">
        <v>185</v>
      </c>
      <c r="C69" s="102" t="s">
        <v>181</v>
      </c>
      <c r="D69" s="102"/>
      <c r="E69" s="102"/>
      <c r="F69" s="102"/>
      <c r="G69" s="14"/>
      <c r="H69" s="101"/>
      <c r="I69" s="101"/>
      <c r="J69" s="101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50.25" hidden="false" customHeight="true" outlineLevel="0" collapsed="false">
      <c r="A70" s="27" t="n">
        <v>103</v>
      </c>
      <c r="B70" s="28" t="s">
        <v>186</v>
      </c>
      <c r="C70" s="103" t="s">
        <v>181</v>
      </c>
      <c r="D70" s="103"/>
      <c r="E70" s="103"/>
      <c r="F70" s="103"/>
      <c r="G70" s="14"/>
      <c r="H70" s="101"/>
      <c r="I70" s="101"/>
      <c r="J70" s="101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24" hidden="false" customHeight="true" outlineLevel="0" collapsed="false">
      <c r="A71" s="30" t="s">
        <v>187</v>
      </c>
      <c r="B71" s="30"/>
      <c r="C71" s="30"/>
      <c r="D71" s="30"/>
      <c r="E71" s="30"/>
      <c r="F71" s="30"/>
      <c r="G71" s="14"/>
      <c r="H71" s="101"/>
      <c r="I71" s="101"/>
      <c r="J71" s="101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30" hidden="false" customHeight="true" outlineLevel="0" collapsed="false">
      <c r="A72" s="104" t="s">
        <v>188</v>
      </c>
      <c r="B72" s="104"/>
      <c r="C72" s="104"/>
      <c r="D72" s="104"/>
      <c r="E72" s="104"/>
      <c r="F72" s="104"/>
      <c r="G72" s="14"/>
      <c r="H72" s="101"/>
      <c r="I72" s="101"/>
      <c r="J72" s="101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90.5" hidden="false" customHeight="true" outlineLevel="0" collapsed="false">
      <c r="A73" s="20" t="n">
        <v>104</v>
      </c>
      <c r="B73" s="105" t="s">
        <v>189</v>
      </c>
      <c r="C73" s="102"/>
      <c r="D73" s="102"/>
      <c r="E73" s="102"/>
      <c r="F73" s="102"/>
      <c r="G73" s="14"/>
      <c r="H73" s="101"/>
      <c r="I73" s="101"/>
      <c r="J73" s="101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225" hidden="false" customHeight="true" outlineLevel="0" collapsed="false">
      <c r="A74" s="27" t="n">
        <v>105</v>
      </c>
      <c r="B74" s="106" t="s">
        <v>190</v>
      </c>
      <c r="C74" s="77"/>
      <c r="D74" s="77"/>
      <c r="E74" s="77"/>
      <c r="F74" s="77"/>
      <c r="G74" s="14"/>
      <c r="H74" s="101"/>
      <c r="I74" s="101"/>
      <c r="J74" s="101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8" hidden="false" customHeight="true" outlineLevel="0" collapsed="false">
      <c r="A75" s="5" t="n">
        <v>106</v>
      </c>
      <c r="B75" s="6" t="s">
        <v>191</v>
      </c>
      <c r="C75" s="107" t="str">
        <f aca="false">CONCATENATE(H75, ", ", TEXT(DAY(J75), "00"), " de ", O14, " de ", TEXT(YEAR(J75), "0000"), ".")</f>
        <v>, 30 de Diciembre de 1899.</v>
      </c>
      <c r="D75" s="107"/>
      <c r="E75" s="107"/>
      <c r="F75" s="107"/>
      <c r="G75" s="108" t="s">
        <v>192</v>
      </c>
      <c r="H75" s="109"/>
      <c r="I75" s="110" t="s">
        <v>193</v>
      </c>
      <c r="J75" s="111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true" outlineLevel="0" collapsed="false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customFormat="false" ht="12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2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2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2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2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2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2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2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2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2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2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2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2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2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2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2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2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2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2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2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2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2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2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2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2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2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2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2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2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2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2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2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2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2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2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2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2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2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2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2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2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2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2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2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2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2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2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2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2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2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2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2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2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2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2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2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2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2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2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2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2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2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2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2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2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2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2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2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2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2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2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2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2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2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2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2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2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2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2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2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2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2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2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2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2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2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2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2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2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2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2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2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2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2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2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2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2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2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2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2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2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2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2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2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2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2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2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2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2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2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2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2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2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2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2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2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2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2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2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2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2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2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2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2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2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2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2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2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2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2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2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2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2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2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2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2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2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2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2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2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2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2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2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2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2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2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2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2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2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2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2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2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2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2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2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2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2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2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2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2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2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2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2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2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2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2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2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2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2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2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2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2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2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2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2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2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2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2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2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2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2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2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2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2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2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2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2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2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2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2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2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2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2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2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2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2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2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2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2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2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2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2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2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2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2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2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2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2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2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2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2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2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2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2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2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2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2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2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2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2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2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2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2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2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2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2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2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2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2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2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2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2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2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2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2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2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2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2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2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2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2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2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2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2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2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2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2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2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2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2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2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2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2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2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2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2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2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2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2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2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2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2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2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2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2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2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2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2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2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2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2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2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2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2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2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2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2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2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2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2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2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2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2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2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2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2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2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2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2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2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2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2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2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2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2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2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2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2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2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2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2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2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2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2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2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2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2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2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2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2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2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2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2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2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2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2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2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2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2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2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2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2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2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2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2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2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2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2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2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2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2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2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2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2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2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2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2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2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2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2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2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2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2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2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2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2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2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2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2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2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2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2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2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2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2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2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2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2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2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2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2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2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2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2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2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2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2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2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2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2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2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2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2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2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2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2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2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2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2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2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2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2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2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2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2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2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2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2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2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2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2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2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2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2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2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2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2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2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2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2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2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2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2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2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2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2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2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2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2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2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2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2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2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2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2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2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2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2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2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2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2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2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2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2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2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2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2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2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2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2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2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2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2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2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2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2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2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2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2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2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2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2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2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2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2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2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2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2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2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2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2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2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2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2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2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2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2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2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2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2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2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2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2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2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2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2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2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2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2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2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2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2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2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2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2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2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2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2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2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2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2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2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2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2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2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2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2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2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2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2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2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2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2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2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2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2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2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2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2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2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2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2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2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2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2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2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2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2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2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2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2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2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2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2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2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2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2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2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2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2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2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2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2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2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2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2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2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2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2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2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2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2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2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2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2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2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2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2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2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2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2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2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2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2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2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2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2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2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2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2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2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2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2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2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2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2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2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2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2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2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2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2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2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2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2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2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2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2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2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2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2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2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2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2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2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2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2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2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2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2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2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2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2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2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2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2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2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2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2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2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2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2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2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2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2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2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2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2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2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2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2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2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2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2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2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2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2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2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2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2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2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2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2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2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2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2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2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2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2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2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2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2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2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2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2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2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2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2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2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2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2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2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2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2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2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2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2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2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2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2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2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2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2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2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2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2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2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2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2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2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2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2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2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2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2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2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2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2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2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2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2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2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2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2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2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2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2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2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2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2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2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2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2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2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2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2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2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2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2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2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2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2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2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2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2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2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2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2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2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2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2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2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2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2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2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2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2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2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2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2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2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2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2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2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2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2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2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2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2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2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2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2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2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2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2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2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2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2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2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2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2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2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2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2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2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2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2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2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2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2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2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2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2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2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2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2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2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2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2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2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2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2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2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2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2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2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2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2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2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2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2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2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2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2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2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2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2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2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2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2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2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2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2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2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2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2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2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2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2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2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2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2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2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2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2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2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2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2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2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2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2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2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2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2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2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2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2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2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2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2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2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2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2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2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2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2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2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2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2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2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2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2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2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2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2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2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2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2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2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2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2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2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2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2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2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2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2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2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2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2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2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2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2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2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2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2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2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2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2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2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2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2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2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2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2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2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2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2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2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2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2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2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2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2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2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2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2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2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2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2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2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2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2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2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2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2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2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2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2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2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2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2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2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2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2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2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2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2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2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2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2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2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2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2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2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2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2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2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2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2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2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2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2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2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2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2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2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2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2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2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2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2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2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2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2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2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2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2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2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2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2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2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2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2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2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2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2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2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2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2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2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2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2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2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2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2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2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2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2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2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2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2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2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2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1">
    <mergeCell ref="A1:F1"/>
    <mergeCell ref="G1:J2"/>
    <mergeCell ref="D2:E2"/>
    <mergeCell ref="A3:F3"/>
    <mergeCell ref="G3:G74"/>
    <mergeCell ref="H3:J5"/>
    <mergeCell ref="B4:C4"/>
    <mergeCell ref="D4:F4"/>
    <mergeCell ref="B5:C5"/>
    <mergeCell ref="D5:F5"/>
    <mergeCell ref="B6:C6"/>
    <mergeCell ref="D6:F6"/>
    <mergeCell ref="I6:J6"/>
    <mergeCell ref="B7:C7"/>
    <mergeCell ref="D7:F7"/>
    <mergeCell ref="H7:J8"/>
    <mergeCell ref="B8:C8"/>
    <mergeCell ref="D8:F8"/>
    <mergeCell ref="A9:F9"/>
    <mergeCell ref="H18:J20"/>
    <mergeCell ref="C20:F20"/>
    <mergeCell ref="A21:F21"/>
    <mergeCell ref="I21:I22"/>
    <mergeCell ref="H29:J35"/>
    <mergeCell ref="D31:F31"/>
    <mergeCell ref="A32:F32"/>
    <mergeCell ref="C33:F33"/>
    <mergeCell ref="C34:F34"/>
    <mergeCell ref="H36:J36"/>
    <mergeCell ref="C37:F37"/>
    <mergeCell ref="H37:J41"/>
    <mergeCell ref="C38:F38"/>
    <mergeCell ref="H42:I42"/>
    <mergeCell ref="J42:J44"/>
    <mergeCell ref="A43:F43"/>
    <mergeCell ref="A49:F49"/>
    <mergeCell ref="H53:J74"/>
    <mergeCell ref="C54:F54"/>
    <mergeCell ref="A55:F55"/>
    <mergeCell ref="A58:F58"/>
    <mergeCell ref="C59:F59"/>
    <mergeCell ref="C65:F65"/>
    <mergeCell ref="A66:F66"/>
    <mergeCell ref="C69:F69"/>
    <mergeCell ref="C70:F70"/>
    <mergeCell ref="A71:F71"/>
    <mergeCell ref="A72:F72"/>
    <mergeCell ref="C73:F73"/>
    <mergeCell ref="C74:F74"/>
    <mergeCell ref="C75:F75"/>
    <mergeCell ref="A76:J76"/>
  </mergeCells>
  <dataValidations count="6">
    <dataValidation allowBlank="true" errorStyle="stop" operator="equal" prompt="Combustible Inválido - Ingrese uno de los valores de la Tabla V: Tipos de Combustible o Fuente de Energía de la Estandarización de Características Registrables Vehiculares." showDropDown="false" showErrorMessage="true" showInputMessage="true" sqref="F15" type="list">
      <formula1>$L$3:$L$24</formula1>
      <formula2>0</formula2>
    </dataValidation>
    <dataValidation allowBlank="true" errorStyle="stop" operator="equal" prompt="Dato Inválido - Seleccione una de las posibles ubicaciones de la lista desplegable." showDropDown="false" showErrorMessage="true" showInputMessage="true" sqref="C44" type="list">
      <formula1>"NO CORRESPONDE,DELANTERO,CENTRAL,POSTERIOR"</formula1>
      <formula2>0</formula2>
    </dataValidation>
    <dataValidation allowBlank="true" errorStyle="stop" operator="equal" prompt="Valor Inválido - Seleccione una posible posición de la lista desplegable." showDropDown="false" showErrorMessage="true" showInputMessage="true" sqref="F44" type="list">
      <formula1>"NO CORRESPONDE,TRANSVERSAL,LONGITUDINAL"</formula1>
      <formula2>0</formula2>
    </dataValidation>
    <dataValidation allowBlank="true" errorStyle="stop" operator="equal" prompt="Valor Inválido - Selecciona una configuración posible de la lista desplegable." showDropDown="false" showErrorMessage="true" showInputMessage="true" sqref="F45" type="list">
      <formula1>"NO CORRESPONDE,EN LÍNEA,EN V,EN V 90º,OPUESTOS HORIZONTALMENTE"</formula1>
      <formula2>0</formula2>
    </dataValidation>
    <dataValidation allowBlank="true" errorStyle="stop" operator="equal" prompt="Valor Inválido - Seleccione un valor de la lista despegable que corresponda a la Tabla IV del a estandarización vehicular." showDropDown="false" showErrorMessage="true" showInputMessage="true" sqref="F56" type="list">
      <formula1>$M$3:$M$8</formula1>
      <formula2>0</formula2>
    </dataValidation>
    <dataValidation allowBlank="true" errorStyle="stop" operator="equal" prompt="Selección - Debe seleccionar uno de los valores definidos para esta celda." showDropDown="false" showErrorMessage="true" showInputMessage="true" sqref="H75" type="list">
      <formula1>"Lima,Callao,Paita,Piura,Tumbes,Salaverry,Trujillo,Pisco,Moquegua,Matarini,Ilo,Mollendo,Tacna,Puerto Maldonado,Iñapari,Pucallpa,Iquitos,Puno"</formula1>
      <formula2>0</formula2>
    </dataValidation>
  </dataValidations>
  <printOptions headings="false" gridLines="false" gridLinesSet="true" horizontalCentered="true" verticalCentered="true"/>
  <pageMargins left="0.511805555555556" right="0.196527777777778" top="1.18125" bottom="0.39375" header="0" footer="0"/>
  <pageSetup paperSize="9" scale="75" fitToWidth="1" fitToHeight="1" pageOrder="downThenOver" orientation="portrait" blackAndWhite="false" draft="false" cellComments="none" horizontalDpi="300" verticalDpi="300" copies="1"/>
  <headerFooter differentFirst="false" differentOddEven="false">
    <oddHeader>&amp;LCIP 73933&amp;CIng. Emilio David Vidal Domínguez&amp;R&amp;P de</oddHeader>
    <oddFooter>&amp;L Confidencial&amp;C&amp;F&amp;RPágina &amp;P</oddFooter>
  </headerFooter>
  <rowBreaks count="1" manualBreakCount="1">
    <brk id="48" man="true" max="16383" min="0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4" name="No Corresponde">
              <controlPr defaultSize="0" locked="1" autoFill="0" autoLine="0" autoPict="0" print="true" altText="Casilla 1">
                <anchor moveWithCells="true" sizeWithCells="false">
                  <from>
                    <xdr:col>8</xdr:col>
                    <xdr:colOff>725400</xdr:colOff>
                    <xdr:row>8</xdr:row>
                    <xdr:rowOff>20880</xdr:rowOff>
                  </from>
                  <to>
                    <xdr:col>10</xdr:col>
                    <xdr:colOff>23760</xdr:colOff>
                    <xdr:row>9</xdr:row>
                    <xdr:rowOff>-17640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5" name="No Corresponde">
              <controlPr defaultSize="0" locked="1" autoFill="0" autoLine="0" autoPict="0" print="true" altText="Casilla 2">
                <anchor moveWithCells="true" sizeWithCells="false">
                  <from>
                    <xdr:col>7</xdr:col>
                    <xdr:colOff>783360</xdr:colOff>
                    <xdr:row>27</xdr:row>
                    <xdr:rowOff>43920</xdr:rowOff>
                  </from>
                  <to>
                    <xdr:col>9</xdr:col>
                    <xdr:colOff>63720</xdr:colOff>
                    <xdr:row>28</xdr:row>
                    <xdr:rowOff>-175320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6" name="No Corresponde">
              <controlPr defaultSize="0" locked="1" autoFill="0" autoLine="0" autoPict="0" print="true" altText="Casilla 3">
                <anchor moveWithCells="true" sizeWithCells="false">
                  <from>
                    <xdr:col>8</xdr:col>
                    <xdr:colOff>811080</xdr:colOff>
                    <xdr:row>47</xdr:row>
                    <xdr:rowOff>19440</xdr:rowOff>
                  </from>
                  <to>
                    <xdr:col>15</xdr:col>
                    <xdr:colOff>138240</xdr:colOff>
                    <xdr:row>48</xdr:row>
                    <xdr:rowOff>57240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75" workbookViewId="0">
      <selection pane="topLeft" activeCell="C13" activeCellId="0" sqref="C13"/>
    </sheetView>
  </sheetViews>
  <sheetFormatPr defaultColWidth="12.71484375" defaultRowHeight="15" customHeight="true" zeroHeight="false" outlineLevelRow="0" outlineLevelCol="0"/>
  <cols>
    <col collapsed="false" customWidth="true" hidden="false" outlineLevel="0" max="1" min="1" style="0" width="3.78"/>
    <col collapsed="false" customWidth="true" hidden="false" outlineLevel="0" max="2" min="2" style="0" width="25.3"/>
    <col collapsed="false" customWidth="true" hidden="false" outlineLevel="0" max="3" min="3" style="0" width="27.06"/>
    <col collapsed="false" customWidth="true" hidden="false" outlineLevel="0" max="4" min="4" style="0" width="3.78"/>
    <col collapsed="false" customWidth="true" hidden="false" outlineLevel="0" max="5" min="5" style="0" width="25.3"/>
    <col collapsed="false" customWidth="true" hidden="false" outlineLevel="0" max="6" min="6" style="0" width="27.06"/>
    <col collapsed="false" customWidth="true" hidden="false" outlineLevel="0" max="8" min="7" style="0" width="10.07"/>
    <col collapsed="false" customWidth="true" hidden="false" outlineLevel="0" max="9" min="9" style="0" width="10.83"/>
    <col collapsed="false" customWidth="true" hidden="false" outlineLevel="0" max="10" min="10" style="0" width="10.07"/>
    <col collapsed="false" customWidth="true" hidden="false" outlineLevel="0" max="11" min="11" style="0" width="1.13"/>
    <col collapsed="false" customWidth="true" hidden="true" outlineLevel="0" max="12" min="12" style="0" width="4.4"/>
    <col collapsed="false" customWidth="true" hidden="true" outlineLevel="0" max="13" min="13" style="0" width="28.57"/>
    <col collapsed="false" customWidth="true" hidden="true" outlineLevel="0" max="14" min="14" style="0" width="1.13"/>
    <col collapsed="false" customWidth="true" hidden="true" outlineLevel="0" max="15" min="15" style="0" width="9.19"/>
    <col collapsed="false" customWidth="true" hidden="false" outlineLevel="0" max="26" min="16" style="0" width="9.44"/>
  </cols>
  <sheetData>
    <row r="1" customFormat="false" ht="26.25" hidden="false" customHeight="true" outlineLevel="0" collapsed="false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3"/>
      <c r="L1" s="3"/>
      <c r="M1" s="3"/>
      <c r="N1" s="3"/>
      <c r="O1" s="4" t="s">
        <v>1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9.5" hidden="false" customHeight="true" outlineLevel="0" collapsed="false">
      <c r="A2" s="5" t="n">
        <v>1</v>
      </c>
      <c r="B2" s="6" t="s">
        <v>2</v>
      </c>
      <c r="C2" s="7"/>
      <c r="D2" s="8" t="s">
        <v>3</v>
      </c>
      <c r="E2" s="8"/>
      <c r="F2" s="9" t="str">
        <f aca="false">"R" &amp; D5 &amp; "V" &amp; RIGHT(C13,6)</f>
        <v>RV001004</v>
      </c>
      <c r="G2" s="2"/>
      <c r="H2" s="2"/>
      <c r="I2" s="2"/>
      <c r="J2" s="2"/>
      <c r="K2" s="3"/>
      <c r="L2" s="10" t="s">
        <v>4</v>
      </c>
      <c r="M2" s="11" t="s">
        <v>5</v>
      </c>
      <c r="N2" s="3"/>
      <c r="O2" s="12" t="s">
        <v>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24" hidden="false" customHeight="true" outlineLevel="0" collapsed="false">
      <c r="A3" s="13" t="s">
        <v>7</v>
      </c>
      <c r="B3" s="13"/>
      <c r="C3" s="13"/>
      <c r="D3" s="13"/>
      <c r="E3" s="13"/>
      <c r="F3" s="13"/>
      <c r="G3" s="14"/>
      <c r="H3" s="15"/>
      <c r="I3" s="15"/>
      <c r="J3" s="15"/>
      <c r="K3" s="3"/>
      <c r="L3" s="16" t="s">
        <v>8</v>
      </c>
      <c r="M3" s="16" t="s">
        <v>8</v>
      </c>
      <c r="N3" s="3"/>
      <c r="O3" s="12" t="s">
        <v>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9.5" hidden="false" customHeight="true" outlineLevel="0" collapsed="false">
      <c r="A4" s="17" t="n">
        <v>2</v>
      </c>
      <c r="B4" s="18" t="s">
        <v>10</v>
      </c>
      <c r="C4" s="18"/>
      <c r="D4" s="19"/>
      <c r="E4" s="19"/>
      <c r="F4" s="19"/>
      <c r="G4" s="14"/>
      <c r="H4" s="15"/>
      <c r="I4" s="15"/>
      <c r="J4" s="15"/>
      <c r="K4" s="3"/>
      <c r="L4" s="16" t="s">
        <v>11</v>
      </c>
      <c r="M4" s="16" t="s">
        <v>12</v>
      </c>
      <c r="N4" s="3"/>
      <c r="O4" s="12" t="s">
        <v>13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9.5" hidden="false" customHeight="true" outlineLevel="0" collapsed="false">
      <c r="A5" s="20" t="n">
        <v>3</v>
      </c>
      <c r="B5" s="21" t="s">
        <v>14</v>
      </c>
      <c r="C5" s="21"/>
      <c r="D5" s="22"/>
      <c r="E5" s="22"/>
      <c r="F5" s="22"/>
      <c r="G5" s="14"/>
      <c r="H5" s="15"/>
      <c r="I5" s="15"/>
      <c r="J5" s="15"/>
      <c r="K5" s="3"/>
      <c r="L5" s="16" t="s">
        <v>15</v>
      </c>
      <c r="M5" s="16" t="s">
        <v>16</v>
      </c>
      <c r="N5" s="3"/>
      <c r="O5" s="12" t="s">
        <v>17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9.5" hidden="false" customHeight="true" outlineLevel="0" collapsed="false">
      <c r="A6" s="20" t="n">
        <v>4</v>
      </c>
      <c r="B6" s="21" t="s">
        <v>18</v>
      </c>
      <c r="C6" s="21"/>
      <c r="D6" s="22"/>
      <c r="E6" s="22"/>
      <c r="F6" s="22"/>
      <c r="G6" s="14"/>
      <c r="H6" s="23" t="s">
        <v>19</v>
      </c>
      <c r="I6" s="24"/>
      <c r="J6" s="24"/>
      <c r="K6" s="3"/>
      <c r="L6" s="16" t="s">
        <v>20</v>
      </c>
      <c r="M6" s="16" t="s">
        <v>21</v>
      </c>
      <c r="N6" s="3"/>
      <c r="O6" s="12" t="s">
        <v>22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9.5" hidden="false" customHeight="true" outlineLevel="0" collapsed="false">
      <c r="A7" s="20" t="n">
        <v>5</v>
      </c>
      <c r="B7" s="21" t="s">
        <v>23</v>
      </c>
      <c r="C7" s="21"/>
      <c r="D7" s="22"/>
      <c r="E7" s="22"/>
      <c r="F7" s="22"/>
      <c r="G7" s="14"/>
      <c r="H7" s="25" t="s">
        <v>24</v>
      </c>
      <c r="I7" s="25"/>
      <c r="J7" s="25"/>
      <c r="K7" s="3"/>
      <c r="L7" s="16" t="s">
        <v>25</v>
      </c>
      <c r="M7" s="26" t="s">
        <v>26</v>
      </c>
      <c r="N7" s="3"/>
      <c r="O7" s="12" t="s">
        <v>27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9.5" hidden="false" customHeight="true" outlineLevel="0" collapsed="false">
      <c r="A8" s="27" t="n">
        <v>6</v>
      </c>
      <c r="B8" s="28" t="s">
        <v>28</v>
      </c>
      <c r="C8" s="28"/>
      <c r="D8" s="29"/>
      <c r="E8" s="29"/>
      <c r="F8" s="29"/>
      <c r="G8" s="14"/>
      <c r="H8" s="25"/>
      <c r="I8" s="25"/>
      <c r="J8" s="25"/>
      <c r="K8" s="3"/>
      <c r="L8" s="16" t="s">
        <v>29</v>
      </c>
      <c r="M8" s="26" t="s">
        <v>30</v>
      </c>
      <c r="N8" s="3"/>
      <c r="O8" s="12" t="s">
        <v>31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24" hidden="false" customHeight="true" outlineLevel="0" collapsed="false">
      <c r="A9" s="30" t="s">
        <v>32</v>
      </c>
      <c r="B9" s="30"/>
      <c r="C9" s="30"/>
      <c r="D9" s="30"/>
      <c r="E9" s="30"/>
      <c r="F9" s="30"/>
      <c r="G9" s="14"/>
      <c r="H9" s="31" t="s">
        <v>33</v>
      </c>
      <c r="I9" s="32"/>
      <c r="J9" s="33" t="b">
        <v>0</v>
      </c>
      <c r="K9" s="3"/>
      <c r="L9" s="16" t="s">
        <v>34</v>
      </c>
      <c r="M9" s="3"/>
      <c r="N9" s="3"/>
      <c r="O9" s="12" t="s">
        <v>35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8" hidden="false" customHeight="true" outlineLevel="0" collapsed="false">
      <c r="A10" s="17" t="n">
        <v>7</v>
      </c>
      <c r="B10" s="18" t="s">
        <v>36</v>
      </c>
      <c r="C10" s="18"/>
      <c r="D10" s="34" t="n">
        <v>8</v>
      </c>
      <c r="E10" s="18" t="s">
        <v>37</v>
      </c>
      <c r="F10" s="35"/>
      <c r="G10" s="14"/>
      <c r="H10" s="36" t="s">
        <v>38</v>
      </c>
      <c r="I10" s="37" t="n">
        <f aca="false">IF(J9,"NO CORRESPONDE",ROUND(I11,J11))</f>
        <v>0</v>
      </c>
      <c r="J10" s="38" t="s">
        <v>39</v>
      </c>
      <c r="K10" s="3"/>
      <c r="L10" s="16" t="s">
        <v>40</v>
      </c>
      <c r="M10" s="3"/>
      <c r="N10" s="3"/>
      <c r="O10" s="12" t="s">
        <v>41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8" hidden="false" customHeight="true" outlineLevel="0" collapsed="false">
      <c r="A11" s="20" t="n">
        <v>9</v>
      </c>
      <c r="B11" s="21" t="s">
        <v>42</v>
      </c>
      <c r="C11" s="21"/>
      <c r="D11" s="39" t="n">
        <v>10</v>
      </c>
      <c r="E11" s="21" t="s">
        <v>43</v>
      </c>
      <c r="F11" s="40"/>
      <c r="G11" s="14"/>
      <c r="H11" s="41" t="s">
        <v>44</v>
      </c>
      <c r="I11" s="42" t="n">
        <f aca="false">SUM(I12*J12,I13*J13,I14*J14,I15*J17)</f>
        <v>0</v>
      </c>
      <c r="J11" s="38" t="n">
        <v>0</v>
      </c>
      <c r="K11" s="3"/>
      <c r="L11" s="16" t="s">
        <v>45</v>
      </c>
      <c r="M11" s="3"/>
      <c r="N11" s="3"/>
      <c r="O11" s="12" t="s">
        <v>46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8" hidden="false" customHeight="true" outlineLevel="0" collapsed="false">
      <c r="A12" s="20" t="n">
        <v>11</v>
      </c>
      <c r="B12" s="21" t="s">
        <v>47</v>
      </c>
      <c r="C12" s="43" t="s">
        <v>196</v>
      </c>
      <c r="D12" s="39" t="n">
        <v>12</v>
      </c>
      <c r="E12" s="21" t="s">
        <v>49</v>
      </c>
      <c r="F12" s="40"/>
      <c r="G12" s="14"/>
      <c r="H12" s="44" t="s">
        <v>50</v>
      </c>
      <c r="I12" s="45"/>
      <c r="J12" s="38" t="n">
        <v>1</v>
      </c>
      <c r="K12" s="3"/>
      <c r="L12" s="16" t="s">
        <v>51</v>
      </c>
      <c r="M12" s="3"/>
      <c r="N12" s="3"/>
      <c r="O12" s="12" t="s">
        <v>52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8" hidden="false" customHeight="true" outlineLevel="0" collapsed="false">
      <c r="A13" s="20" t="n">
        <v>13</v>
      </c>
      <c r="B13" s="21" t="s">
        <v>53</v>
      </c>
      <c r="C13" s="46" t="str">
        <f aca="false">IF(ISBLANK(I6), C12, I6)</f>
        <v>ABCDE1234WX001004</v>
      </c>
      <c r="D13" s="39" t="n">
        <v>14</v>
      </c>
      <c r="E13" s="21" t="s">
        <v>54</v>
      </c>
      <c r="F13" s="35"/>
      <c r="G13" s="14"/>
      <c r="H13" s="47" t="s">
        <v>55</v>
      </c>
      <c r="I13" s="48"/>
      <c r="J13" s="38" t="n">
        <v>1.609344</v>
      </c>
      <c r="K13" s="3"/>
      <c r="L13" s="16" t="s">
        <v>56</v>
      </c>
      <c r="M13" s="3"/>
      <c r="N13" s="3"/>
      <c r="O13" s="49" t="s">
        <v>57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8" hidden="false" customHeight="true" outlineLevel="0" collapsed="false">
      <c r="A14" s="20" t="n">
        <v>15</v>
      </c>
      <c r="B14" s="21" t="s">
        <v>58</v>
      </c>
      <c r="C14" s="21"/>
      <c r="D14" s="39" t="n">
        <v>16</v>
      </c>
      <c r="E14" s="21" t="s">
        <v>59</v>
      </c>
      <c r="F14" s="40"/>
      <c r="G14" s="14"/>
      <c r="H14" s="41" t="s">
        <v>60</v>
      </c>
      <c r="I14" s="50"/>
      <c r="J14" s="38" t="n">
        <v>1.853184</v>
      </c>
      <c r="K14" s="3"/>
      <c r="L14" s="16" t="s">
        <v>61</v>
      </c>
      <c r="M14" s="3"/>
      <c r="N14" s="3"/>
      <c r="O14" s="3" t="str">
        <f aca="false">CHOOSE(MONTH(J75),O2,O3,O4,O5,O6,O7,O8,O9,O10,O11,O12,O13)</f>
        <v>Diciembre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8" hidden="false" customHeight="true" outlineLevel="0" collapsed="false">
      <c r="A15" s="20" t="n">
        <v>17</v>
      </c>
      <c r="B15" s="21" t="s">
        <v>62</v>
      </c>
      <c r="C15" s="51"/>
      <c r="D15" s="39" t="n">
        <v>18</v>
      </c>
      <c r="E15" s="21" t="s">
        <v>63</v>
      </c>
      <c r="F15" s="40"/>
      <c r="G15" s="14"/>
      <c r="H15" s="41" t="s">
        <v>44</v>
      </c>
      <c r="I15" s="52" t="n">
        <f aca="false">SUM(I17/60,H17)</f>
        <v>0</v>
      </c>
      <c r="J15" s="38" t="s">
        <v>64</v>
      </c>
      <c r="K15" s="3"/>
      <c r="L15" s="16" t="s">
        <v>65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8" hidden="false" customHeight="true" outlineLevel="0" collapsed="false">
      <c r="A16" s="20" t="n">
        <v>19</v>
      </c>
      <c r="B16" s="21" t="s">
        <v>66</v>
      </c>
      <c r="C16" s="21"/>
      <c r="D16" s="39" t="n">
        <v>20</v>
      </c>
      <c r="E16" s="21" t="s">
        <v>67</v>
      </c>
      <c r="F16" s="40"/>
      <c r="G16" s="14"/>
      <c r="H16" s="41" t="s">
        <v>68</v>
      </c>
      <c r="I16" s="53" t="s">
        <v>69</v>
      </c>
      <c r="J16" s="54" t="s">
        <v>70</v>
      </c>
      <c r="K16" s="3"/>
      <c r="L16" s="16" t="s">
        <v>71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8" hidden="false" customHeight="true" outlineLevel="0" collapsed="false">
      <c r="A17" s="20" t="n">
        <v>21</v>
      </c>
      <c r="B17" s="21" t="s">
        <v>72</v>
      </c>
      <c r="C17" s="21"/>
      <c r="D17" s="39" t="n">
        <v>22</v>
      </c>
      <c r="E17" s="21" t="s">
        <v>73</v>
      </c>
      <c r="F17" s="40"/>
      <c r="G17" s="14"/>
      <c r="H17" s="55" t="n">
        <v>0</v>
      </c>
      <c r="I17" s="56" t="n">
        <v>0</v>
      </c>
      <c r="J17" s="57" t="n">
        <v>0</v>
      </c>
      <c r="K17" s="3"/>
      <c r="L17" s="16" t="s">
        <v>74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8" hidden="false" customHeight="true" outlineLevel="0" collapsed="false">
      <c r="A18" s="20" t="n">
        <v>23</v>
      </c>
      <c r="B18" s="21" t="s">
        <v>75</v>
      </c>
      <c r="C18" s="21"/>
      <c r="D18" s="39" t="n">
        <v>24</v>
      </c>
      <c r="E18" s="21" t="s">
        <v>76</v>
      </c>
      <c r="F18" s="40"/>
      <c r="G18" s="14"/>
      <c r="H18" s="58"/>
      <c r="I18" s="58"/>
      <c r="J18" s="58"/>
      <c r="K18" s="3"/>
      <c r="L18" s="16" t="s">
        <v>77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8" hidden="false" customHeight="true" outlineLevel="0" collapsed="false">
      <c r="A19" s="20" t="n">
        <v>25</v>
      </c>
      <c r="B19" s="21" t="s">
        <v>33</v>
      </c>
      <c r="C19" s="21" t="n">
        <f aca="false">I10</f>
        <v>0</v>
      </c>
      <c r="D19" s="39" t="n">
        <v>26</v>
      </c>
      <c r="E19" s="21" t="s">
        <v>78</v>
      </c>
      <c r="F19" s="59"/>
      <c r="G19" s="14"/>
      <c r="H19" s="58"/>
      <c r="I19" s="58"/>
      <c r="J19" s="58"/>
      <c r="K19" s="3"/>
      <c r="L19" s="16" t="s">
        <v>79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8" hidden="false" customHeight="true" outlineLevel="0" collapsed="false">
      <c r="A20" s="27" t="n">
        <v>27</v>
      </c>
      <c r="B20" s="28" t="s">
        <v>80</v>
      </c>
      <c r="C20" s="60"/>
      <c r="D20" s="60"/>
      <c r="E20" s="60"/>
      <c r="F20" s="60"/>
      <c r="G20" s="14"/>
      <c r="H20" s="58"/>
      <c r="I20" s="58"/>
      <c r="J20" s="58"/>
      <c r="K20" s="3"/>
      <c r="L20" s="16" t="s">
        <v>81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24" hidden="false" customHeight="true" outlineLevel="0" collapsed="false">
      <c r="A21" s="30" t="s">
        <v>82</v>
      </c>
      <c r="B21" s="30"/>
      <c r="C21" s="30"/>
      <c r="D21" s="30"/>
      <c r="E21" s="30"/>
      <c r="F21" s="30"/>
      <c r="G21" s="14"/>
      <c r="H21" s="61" t="s">
        <v>83</v>
      </c>
      <c r="I21" s="62" t="s">
        <v>84</v>
      </c>
      <c r="J21" s="63"/>
      <c r="K21" s="3"/>
      <c r="L21" s="16" t="s">
        <v>85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8" hidden="false" customHeight="true" outlineLevel="0" collapsed="false">
      <c r="A22" s="17" t="n">
        <v>28</v>
      </c>
      <c r="B22" s="18" t="s">
        <v>86</v>
      </c>
      <c r="C22" s="64"/>
      <c r="D22" s="34" t="n">
        <v>29</v>
      </c>
      <c r="E22" s="18" t="s">
        <v>87</v>
      </c>
      <c r="F22" s="65"/>
      <c r="G22" s="14"/>
      <c r="H22" s="66"/>
      <c r="I22" s="62"/>
      <c r="J22" s="67"/>
      <c r="K22" s="3"/>
      <c r="L22" s="16" t="s">
        <v>88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8" hidden="false" customHeight="true" outlineLevel="0" collapsed="false">
      <c r="A23" s="20" t="n">
        <v>30</v>
      </c>
      <c r="B23" s="21" t="s">
        <v>89</v>
      </c>
      <c r="C23" s="68"/>
      <c r="D23" s="39" t="n">
        <v>31</v>
      </c>
      <c r="E23" s="21" t="s">
        <v>90</v>
      </c>
      <c r="F23" s="69"/>
      <c r="G23" s="14"/>
      <c r="H23" s="70"/>
      <c r="I23" s="71" t="s">
        <v>91</v>
      </c>
      <c r="J23" s="67"/>
      <c r="K23" s="3"/>
      <c r="L23" s="16" t="s">
        <v>92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8" hidden="false" customHeight="true" outlineLevel="0" collapsed="false">
      <c r="A24" s="20" t="n">
        <v>32</v>
      </c>
      <c r="B24" s="21" t="s">
        <v>93</v>
      </c>
      <c r="C24" s="68"/>
      <c r="D24" s="39" t="n">
        <v>33</v>
      </c>
      <c r="E24" s="21" t="s">
        <v>94</v>
      </c>
      <c r="F24" s="69"/>
      <c r="G24" s="14"/>
      <c r="H24" s="72" t="s">
        <v>44</v>
      </c>
      <c r="I24" s="73" t="n">
        <f aca="false">ROUND(IF(ISBLANK(I25), IF(ISBLANK(I26), IF(ISBLANK(I27), 0, I27*J27), I26*J26), I25),0)</f>
        <v>0</v>
      </c>
      <c r="J24" s="67"/>
      <c r="K24" s="3"/>
      <c r="L24" s="26" t="s">
        <v>95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8" hidden="false" customHeight="true" outlineLevel="0" collapsed="false">
      <c r="A25" s="20" t="n">
        <v>34</v>
      </c>
      <c r="B25" s="21" t="s">
        <v>96</v>
      </c>
      <c r="C25" s="68"/>
      <c r="D25" s="39" t="n">
        <v>35</v>
      </c>
      <c r="E25" s="21" t="s">
        <v>97</v>
      </c>
      <c r="F25" s="69"/>
      <c r="G25" s="14"/>
      <c r="H25" s="72" t="s">
        <v>98</v>
      </c>
      <c r="I25" s="45"/>
      <c r="J25" s="67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8" hidden="false" customHeight="true" outlineLevel="0" collapsed="false">
      <c r="A26" s="20" t="n">
        <v>36</v>
      </c>
      <c r="B26" s="21" t="s">
        <v>99</v>
      </c>
      <c r="C26" s="21"/>
      <c r="D26" s="39" t="n">
        <v>37</v>
      </c>
      <c r="E26" s="21" t="s">
        <v>100</v>
      </c>
      <c r="F26" s="40"/>
      <c r="G26" s="14"/>
      <c r="H26" s="72" t="s">
        <v>101</v>
      </c>
      <c r="I26" s="48"/>
      <c r="J26" s="38" t="n">
        <v>0.7456999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8" hidden="false" customHeight="true" outlineLevel="0" collapsed="false">
      <c r="A27" s="20" t="n">
        <v>38</v>
      </c>
      <c r="B27" s="21" t="s">
        <v>102</v>
      </c>
      <c r="C27" s="21"/>
      <c r="D27" s="39" t="n">
        <v>39</v>
      </c>
      <c r="E27" s="21" t="s">
        <v>103</v>
      </c>
      <c r="F27" s="40"/>
      <c r="G27" s="14"/>
      <c r="H27" s="72" t="s">
        <v>104</v>
      </c>
      <c r="I27" s="50"/>
      <c r="J27" s="38" t="n">
        <v>0.735498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36" hidden="false" customHeight="true" outlineLevel="0" collapsed="false">
      <c r="A28" s="20" t="n">
        <v>40</v>
      </c>
      <c r="B28" s="21" t="s">
        <v>105</v>
      </c>
      <c r="C28" s="21"/>
      <c r="D28" s="39" t="n">
        <v>41</v>
      </c>
      <c r="E28" s="21" t="s">
        <v>106</v>
      </c>
      <c r="F28" s="40"/>
      <c r="G28" s="14"/>
      <c r="H28" s="72" t="s">
        <v>107</v>
      </c>
      <c r="I28" s="74" t="b">
        <v>1</v>
      </c>
      <c r="J28" s="67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36" hidden="false" customHeight="true" outlineLevel="0" collapsed="false">
      <c r="A29" s="20" t="n">
        <v>42</v>
      </c>
      <c r="B29" s="21" t="s">
        <v>108</v>
      </c>
      <c r="C29" s="21"/>
      <c r="D29" s="39" t="n">
        <v>43</v>
      </c>
      <c r="E29" s="21" t="s">
        <v>109</v>
      </c>
      <c r="F29" s="40"/>
      <c r="G29" s="14"/>
      <c r="H29" s="75" t="s">
        <v>110</v>
      </c>
      <c r="I29" s="75"/>
      <c r="J29" s="75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36" hidden="false" customHeight="true" outlineLevel="0" collapsed="false">
      <c r="A30" s="20" t="n">
        <v>44</v>
      </c>
      <c r="B30" s="21" t="s">
        <v>111</v>
      </c>
      <c r="C30" s="21"/>
      <c r="D30" s="39" t="n">
        <v>45</v>
      </c>
      <c r="E30" s="21" t="s">
        <v>112</v>
      </c>
      <c r="F30" s="76" t="str">
        <f aca="false">IF(I28,"NO CORRESPONDE",I24*1000/(F26+IF(ISNUMBER(C31),C31*1000,0)))</f>
        <v>NO CORRESPONDE</v>
      </c>
      <c r="G30" s="14"/>
      <c r="H30" s="14"/>
      <c r="I30" s="75"/>
      <c r="J30" s="75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8" hidden="false" customHeight="true" outlineLevel="0" collapsed="false">
      <c r="A31" s="27" t="n">
        <v>46</v>
      </c>
      <c r="B31" s="28" t="s">
        <v>113</v>
      </c>
      <c r="C31" s="28"/>
      <c r="D31" s="77"/>
      <c r="E31" s="77"/>
      <c r="F31" s="77"/>
      <c r="G31" s="14"/>
      <c r="H31" s="14"/>
      <c r="I31" s="75"/>
      <c r="J31" s="75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24" hidden="false" customHeight="true" outlineLevel="0" collapsed="false">
      <c r="A32" s="30" t="s">
        <v>114</v>
      </c>
      <c r="B32" s="30"/>
      <c r="C32" s="30"/>
      <c r="D32" s="30"/>
      <c r="E32" s="30"/>
      <c r="F32" s="30"/>
      <c r="G32" s="14"/>
      <c r="H32" s="14"/>
      <c r="I32" s="75"/>
      <c r="J32" s="75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8" hidden="false" customHeight="true" outlineLevel="0" collapsed="false">
      <c r="A33" s="17" t="n">
        <v>47</v>
      </c>
      <c r="B33" s="18" t="s">
        <v>115</v>
      </c>
      <c r="C33" s="78"/>
      <c r="D33" s="78"/>
      <c r="E33" s="78"/>
      <c r="F33" s="78"/>
      <c r="G33" s="14"/>
      <c r="H33" s="14"/>
      <c r="I33" s="75"/>
      <c r="J33" s="75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8" hidden="false" customHeight="true" outlineLevel="0" collapsed="false">
      <c r="A34" s="20" t="n">
        <v>48</v>
      </c>
      <c r="B34" s="21" t="s">
        <v>116</v>
      </c>
      <c r="C34" s="40"/>
      <c r="D34" s="40"/>
      <c r="E34" s="40"/>
      <c r="F34" s="40"/>
      <c r="G34" s="14"/>
      <c r="H34" s="14"/>
      <c r="I34" s="75"/>
      <c r="J34" s="75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8" hidden="false" customHeight="true" outlineLevel="0" collapsed="false">
      <c r="A35" s="20" t="n">
        <v>49</v>
      </c>
      <c r="B35" s="21" t="s">
        <v>117</v>
      </c>
      <c r="C35" s="21"/>
      <c r="D35" s="39" t="n">
        <v>50</v>
      </c>
      <c r="E35" s="21" t="s">
        <v>118</v>
      </c>
      <c r="F35" s="40"/>
      <c r="G35" s="14"/>
      <c r="H35" s="14"/>
      <c r="I35" s="75"/>
      <c r="J35" s="75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8" hidden="false" customHeight="true" outlineLevel="0" collapsed="false">
      <c r="A36" s="20" t="n">
        <v>51</v>
      </c>
      <c r="B36" s="21" t="s">
        <v>119</v>
      </c>
      <c r="C36" s="21"/>
      <c r="D36" s="39" t="n">
        <v>52</v>
      </c>
      <c r="E36" s="21" t="s">
        <v>120</v>
      </c>
      <c r="F36" s="40"/>
      <c r="G36" s="14"/>
      <c r="H36" s="79"/>
      <c r="I36" s="79"/>
      <c r="J36" s="79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8" hidden="false" customHeight="true" outlineLevel="0" collapsed="false">
      <c r="A37" s="20" t="n">
        <v>53</v>
      </c>
      <c r="B37" s="21" t="s">
        <v>121</v>
      </c>
      <c r="C37" s="40"/>
      <c r="D37" s="40"/>
      <c r="E37" s="40"/>
      <c r="F37" s="40"/>
      <c r="G37" s="14"/>
      <c r="H37" s="58"/>
      <c r="I37" s="58"/>
      <c r="J37" s="58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8" hidden="false" customHeight="true" outlineLevel="0" collapsed="false">
      <c r="A38" s="20" t="n">
        <v>54</v>
      </c>
      <c r="B38" s="21" t="s">
        <v>122</v>
      </c>
      <c r="C38" s="80"/>
      <c r="D38" s="80"/>
      <c r="E38" s="80"/>
      <c r="F38" s="80"/>
      <c r="G38" s="14"/>
      <c r="H38" s="58"/>
      <c r="I38" s="58"/>
      <c r="J38" s="58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8" hidden="false" customHeight="true" outlineLevel="0" collapsed="false">
      <c r="A39" s="20" t="n">
        <v>55</v>
      </c>
      <c r="B39" s="21" t="s">
        <v>123</v>
      </c>
      <c r="C39" s="21"/>
      <c r="D39" s="39" t="n">
        <v>56</v>
      </c>
      <c r="E39" s="21" t="s">
        <v>124</v>
      </c>
      <c r="F39" s="40"/>
      <c r="G39" s="14"/>
      <c r="H39" s="58"/>
      <c r="I39" s="58"/>
      <c r="J39" s="58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8" hidden="false" customHeight="true" outlineLevel="0" collapsed="false">
      <c r="A40" s="20" t="n">
        <v>57</v>
      </c>
      <c r="B40" s="21" t="s">
        <v>125</v>
      </c>
      <c r="C40" s="21"/>
      <c r="D40" s="39" t="n">
        <v>58</v>
      </c>
      <c r="E40" s="21" t="s">
        <v>126</v>
      </c>
      <c r="F40" s="40"/>
      <c r="G40" s="14"/>
      <c r="H40" s="58"/>
      <c r="I40" s="58"/>
      <c r="J40" s="58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36" hidden="false" customHeight="true" outlineLevel="0" collapsed="false">
      <c r="A41" s="20" t="n">
        <v>59</v>
      </c>
      <c r="B41" s="21" t="s">
        <v>127</v>
      </c>
      <c r="C41" s="81"/>
      <c r="D41" s="39" t="n">
        <v>60</v>
      </c>
      <c r="E41" s="21" t="s">
        <v>128</v>
      </c>
      <c r="F41" s="40"/>
      <c r="G41" s="14"/>
      <c r="H41" s="58"/>
      <c r="I41" s="58"/>
      <c r="J41" s="58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36" hidden="false" customHeight="true" outlineLevel="0" collapsed="false">
      <c r="A42" s="27" t="n">
        <v>61</v>
      </c>
      <c r="B42" s="28" t="s">
        <v>129</v>
      </c>
      <c r="C42" s="82" t="str">
        <f aca="false">IF(ISNUMBER(I43),ROUND(I43,0),I43)</f>
        <v>NO CORRESPONDE</v>
      </c>
      <c r="D42" s="83" t="n">
        <v>62</v>
      </c>
      <c r="E42" s="28" t="s">
        <v>130</v>
      </c>
      <c r="F42" s="84"/>
      <c r="G42" s="14"/>
      <c r="H42" s="85" t="s">
        <v>131</v>
      </c>
      <c r="I42" s="85"/>
      <c r="J42" s="86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24" hidden="false" customHeight="true" outlineLevel="0" collapsed="false">
      <c r="A43" s="30" t="s">
        <v>132</v>
      </c>
      <c r="B43" s="30"/>
      <c r="C43" s="30"/>
      <c r="D43" s="30"/>
      <c r="E43" s="30"/>
      <c r="F43" s="30"/>
      <c r="G43" s="14"/>
      <c r="H43" s="72" t="s">
        <v>44</v>
      </c>
      <c r="I43" s="87" t="str">
        <f aca="false">IF(ISBLANK(I44), IF(ISBLANK(I45), IF(ISBLANK(I46), "NO CORRESPONDE", I46*J46), I45*J45), I44)</f>
        <v>NO CORRESPONDE</v>
      </c>
      <c r="J43" s="86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8" hidden="false" customHeight="true" outlineLevel="0" collapsed="false">
      <c r="A44" s="17" t="n">
        <v>63</v>
      </c>
      <c r="B44" s="18" t="s">
        <v>133</v>
      </c>
      <c r="C44" s="18"/>
      <c r="D44" s="34" t="n">
        <v>64</v>
      </c>
      <c r="E44" s="18" t="s">
        <v>134</v>
      </c>
      <c r="F44" s="35"/>
      <c r="G44" s="14"/>
      <c r="H44" s="72" t="s">
        <v>135</v>
      </c>
      <c r="I44" s="45"/>
      <c r="J44" s="86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8" hidden="false" customHeight="true" outlineLevel="0" collapsed="false">
      <c r="A45" s="20" t="n">
        <v>65</v>
      </c>
      <c r="B45" s="21" t="s">
        <v>136</v>
      </c>
      <c r="C45" s="21"/>
      <c r="D45" s="39" t="n">
        <v>66</v>
      </c>
      <c r="E45" s="21" t="s">
        <v>137</v>
      </c>
      <c r="F45" s="40"/>
      <c r="G45" s="14"/>
      <c r="H45" s="72" t="s">
        <v>138</v>
      </c>
      <c r="I45" s="48"/>
      <c r="J45" s="38" t="n">
        <v>3.785412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8" hidden="false" customHeight="true" outlineLevel="0" collapsed="false">
      <c r="A46" s="20" t="n">
        <v>67</v>
      </c>
      <c r="B46" s="21" t="s">
        <v>139</v>
      </c>
      <c r="C46" s="21" t="n">
        <f aca="false">I49</f>
        <v>0</v>
      </c>
      <c r="D46" s="39" t="n">
        <v>68</v>
      </c>
      <c r="E46" s="21" t="s">
        <v>140</v>
      </c>
      <c r="F46" s="40"/>
      <c r="G46" s="14"/>
      <c r="H46" s="88" t="s">
        <v>141</v>
      </c>
      <c r="I46" s="89"/>
      <c r="J46" s="90" t="n">
        <v>4.546092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8" hidden="false" customHeight="true" outlineLevel="0" collapsed="false">
      <c r="A47" s="20" t="n">
        <v>69</v>
      </c>
      <c r="B47" s="21" t="s">
        <v>142</v>
      </c>
      <c r="C47" s="21"/>
      <c r="D47" s="39" t="n">
        <v>70</v>
      </c>
      <c r="E47" s="21" t="s">
        <v>143</v>
      </c>
      <c r="F47" s="40" t="str">
        <f aca="false">IF(ISNUMBER(H22), I24 &amp; " kW. @ " &amp; H22 &amp; " rpm", "NO CORRESPONDE")</f>
        <v>NO CORRESPONDE</v>
      </c>
      <c r="G47" s="14"/>
      <c r="H47" s="91"/>
      <c r="I47" s="91"/>
      <c r="J47" s="91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8" hidden="false" customHeight="true" outlineLevel="0" collapsed="false">
      <c r="A48" s="92" t="n">
        <v>71</v>
      </c>
      <c r="B48" s="93" t="s">
        <v>144</v>
      </c>
      <c r="C48" s="93"/>
      <c r="D48" s="94" t="n">
        <v>72</v>
      </c>
      <c r="E48" s="95" t="s">
        <v>145</v>
      </c>
      <c r="F48" s="60"/>
      <c r="G48" s="14"/>
      <c r="H48" s="61" t="s">
        <v>146</v>
      </c>
      <c r="I48" s="96"/>
      <c r="J48" s="97" t="b"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24" hidden="false" customHeight="true" outlineLevel="0" collapsed="false">
      <c r="A49" s="30" t="s">
        <v>147</v>
      </c>
      <c r="B49" s="30"/>
      <c r="C49" s="30"/>
      <c r="D49" s="30"/>
      <c r="E49" s="30"/>
      <c r="F49" s="30"/>
      <c r="G49" s="14"/>
      <c r="H49" s="72" t="s">
        <v>44</v>
      </c>
      <c r="I49" s="87" t="n">
        <f aca="false">IF(J48, "NO CORRESPONDE", SUM(J50:J52))</f>
        <v>0</v>
      </c>
      <c r="J49" s="38" t="s">
        <v>148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8" hidden="false" customHeight="true" outlineLevel="0" collapsed="false">
      <c r="A50" s="17" t="n">
        <v>73</v>
      </c>
      <c r="B50" s="18" t="s">
        <v>149</v>
      </c>
      <c r="C50" s="18"/>
      <c r="D50" s="98" t="n">
        <v>74</v>
      </c>
      <c r="E50" s="98" t="s">
        <v>150</v>
      </c>
      <c r="F50" s="35"/>
      <c r="G50" s="14"/>
      <c r="H50" s="72" t="s">
        <v>151</v>
      </c>
      <c r="I50" s="45"/>
      <c r="J50" s="38" t="n">
        <f aca="false">I50*1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8" hidden="false" customHeight="true" outlineLevel="0" collapsed="false">
      <c r="A51" s="20" t="n">
        <v>75</v>
      </c>
      <c r="B51" s="21" t="s">
        <v>152</v>
      </c>
      <c r="C51" s="21"/>
      <c r="D51" s="39" t="n">
        <v>76</v>
      </c>
      <c r="E51" s="21" t="s">
        <v>153</v>
      </c>
      <c r="F51" s="99"/>
      <c r="G51" s="14"/>
      <c r="H51" s="72" t="s">
        <v>154</v>
      </c>
      <c r="I51" s="48"/>
      <c r="J51" s="38" t="n">
        <f aca="false">I51*1000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8" hidden="false" customHeight="true" outlineLevel="0" collapsed="false">
      <c r="A52" s="20" t="n">
        <v>77</v>
      </c>
      <c r="B52" s="21" t="s">
        <v>155</v>
      </c>
      <c r="C52" s="100"/>
      <c r="D52" s="39" t="n">
        <v>78</v>
      </c>
      <c r="E52" s="21" t="s">
        <v>156</v>
      </c>
      <c r="F52" s="99" t="str">
        <f aca="false">IF(AND(ISNUMBER(F51), ISNUMBER(C52)), SUM(F51,C52), "NO CORRESPONDE")</f>
        <v>NO CORRESPONDE</v>
      </c>
      <c r="G52" s="14"/>
      <c r="H52" s="88" t="s">
        <v>157</v>
      </c>
      <c r="I52" s="50"/>
      <c r="J52" s="90" t="n">
        <f aca="false">I52*16.3871</f>
        <v>0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8" hidden="false" customHeight="true" outlineLevel="0" collapsed="false">
      <c r="A53" s="20" t="n">
        <v>79</v>
      </c>
      <c r="B53" s="21" t="s">
        <v>158</v>
      </c>
      <c r="C53" s="100"/>
      <c r="D53" s="39" t="n">
        <v>80</v>
      </c>
      <c r="E53" s="21" t="s">
        <v>159</v>
      </c>
      <c r="F53" s="76"/>
      <c r="G53" s="14"/>
      <c r="H53" s="101"/>
      <c r="I53" s="101"/>
      <c r="J53" s="101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8" hidden="false" customHeight="true" outlineLevel="0" collapsed="false">
      <c r="A54" s="27" t="n">
        <v>81</v>
      </c>
      <c r="B54" s="28" t="s">
        <v>160</v>
      </c>
      <c r="C54" s="60"/>
      <c r="D54" s="60"/>
      <c r="E54" s="60"/>
      <c r="F54" s="60"/>
      <c r="G54" s="14"/>
      <c r="H54" s="101"/>
      <c r="I54" s="101"/>
      <c r="J54" s="101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24" hidden="false" customHeight="true" outlineLevel="0" collapsed="false">
      <c r="A55" s="30" t="s">
        <v>161</v>
      </c>
      <c r="B55" s="30"/>
      <c r="C55" s="30"/>
      <c r="D55" s="30"/>
      <c r="E55" s="30"/>
      <c r="F55" s="30"/>
      <c r="G55" s="14"/>
      <c r="H55" s="101"/>
      <c r="I55" s="101"/>
      <c r="J55" s="101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8" hidden="false" customHeight="true" outlineLevel="0" collapsed="false">
      <c r="A56" s="17" t="n">
        <v>82</v>
      </c>
      <c r="B56" s="18" t="s">
        <v>162</v>
      </c>
      <c r="C56" s="18"/>
      <c r="D56" s="34" t="n">
        <v>83</v>
      </c>
      <c r="E56" s="18" t="s">
        <v>163</v>
      </c>
      <c r="F56" s="35"/>
      <c r="G56" s="14"/>
      <c r="H56" s="101"/>
      <c r="I56" s="101"/>
      <c r="J56" s="101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8" hidden="false" customHeight="true" outlineLevel="0" collapsed="false">
      <c r="A57" s="27" t="n">
        <v>84</v>
      </c>
      <c r="B57" s="28" t="s">
        <v>164</v>
      </c>
      <c r="C57" s="28"/>
      <c r="D57" s="83" t="n">
        <v>85</v>
      </c>
      <c r="E57" s="28" t="s">
        <v>165</v>
      </c>
      <c r="F57" s="84"/>
      <c r="G57" s="14"/>
      <c r="H57" s="101"/>
      <c r="I57" s="101"/>
      <c r="J57" s="101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24" hidden="false" customHeight="true" outlineLevel="0" collapsed="false">
      <c r="A58" s="30" t="s">
        <v>166</v>
      </c>
      <c r="B58" s="30"/>
      <c r="C58" s="30"/>
      <c r="D58" s="30"/>
      <c r="E58" s="30"/>
      <c r="F58" s="30"/>
      <c r="G58" s="14"/>
      <c r="H58" s="101"/>
      <c r="I58" s="101"/>
      <c r="J58" s="101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8" hidden="false" customHeight="true" outlineLevel="0" collapsed="false">
      <c r="A59" s="17" t="n">
        <v>86</v>
      </c>
      <c r="B59" s="18" t="s">
        <v>167</v>
      </c>
      <c r="C59" s="78"/>
      <c r="D59" s="78"/>
      <c r="E59" s="78"/>
      <c r="F59" s="78"/>
      <c r="G59" s="14"/>
      <c r="H59" s="101"/>
      <c r="I59" s="101"/>
      <c r="J59" s="101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27" hidden="false" customHeight="true" outlineLevel="0" collapsed="false">
      <c r="A60" s="20" t="n">
        <v>87</v>
      </c>
      <c r="B60" s="21" t="s">
        <v>168</v>
      </c>
      <c r="C60" s="21"/>
      <c r="D60" s="39" t="n">
        <v>88</v>
      </c>
      <c r="E60" s="21" t="s">
        <v>169</v>
      </c>
      <c r="F60" s="40"/>
      <c r="G60" s="14"/>
      <c r="H60" s="101"/>
      <c r="I60" s="101"/>
      <c r="J60" s="101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8" hidden="false" customHeight="true" outlineLevel="0" collapsed="false">
      <c r="A61" s="20" t="n">
        <v>89</v>
      </c>
      <c r="B61" s="21" t="s">
        <v>170</v>
      </c>
      <c r="C61" s="21"/>
      <c r="D61" s="39" t="n">
        <v>90</v>
      </c>
      <c r="E61" s="21" t="s">
        <v>171</v>
      </c>
      <c r="F61" s="40"/>
      <c r="G61" s="14"/>
      <c r="H61" s="101"/>
      <c r="I61" s="101"/>
      <c r="J61" s="101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8" hidden="false" customHeight="true" outlineLevel="0" collapsed="false">
      <c r="A62" s="20" t="n">
        <v>91</v>
      </c>
      <c r="B62" s="21" t="s">
        <v>172</v>
      </c>
      <c r="C62" s="21"/>
      <c r="D62" s="39" t="n">
        <v>92</v>
      </c>
      <c r="E62" s="21" t="s">
        <v>173</v>
      </c>
      <c r="F62" s="40"/>
      <c r="G62" s="14"/>
      <c r="H62" s="101"/>
      <c r="I62" s="101"/>
      <c r="J62" s="101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8" hidden="false" customHeight="true" outlineLevel="0" collapsed="false">
      <c r="A63" s="20" t="n">
        <v>93</v>
      </c>
      <c r="B63" s="21" t="s">
        <v>174</v>
      </c>
      <c r="C63" s="21"/>
      <c r="D63" s="39" t="n">
        <v>94</v>
      </c>
      <c r="E63" s="21" t="s">
        <v>175</v>
      </c>
      <c r="F63" s="40"/>
      <c r="G63" s="14"/>
      <c r="H63" s="101"/>
      <c r="I63" s="101"/>
      <c r="J63" s="101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8" hidden="false" customHeight="true" outlineLevel="0" collapsed="false">
      <c r="A64" s="20" t="n">
        <v>95</v>
      </c>
      <c r="B64" s="21" t="s">
        <v>176</v>
      </c>
      <c r="C64" s="21"/>
      <c r="D64" s="39" t="n">
        <v>96</v>
      </c>
      <c r="E64" s="21" t="s">
        <v>177</v>
      </c>
      <c r="F64" s="40"/>
      <c r="G64" s="14"/>
      <c r="H64" s="101"/>
      <c r="I64" s="101"/>
      <c r="J64" s="101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8" hidden="false" customHeight="true" outlineLevel="0" collapsed="false">
      <c r="A65" s="27" t="n">
        <v>97</v>
      </c>
      <c r="B65" s="28" t="s">
        <v>178</v>
      </c>
      <c r="C65" s="60"/>
      <c r="D65" s="60"/>
      <c r="E65" s="60"/>
      <c r="F65" s="60"/>
      <c r="G65" s="14"/>
      <c r="H65" s="101"/>
      <c r="I65" s="101"/>
      <c r="J65" s="101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24" hidden="false" customHeight="true" outlineLevel="0" collapsed="false">
      <c r="A66" s="30" t="s">
        <v>179</v>
      </c>
      <c r="B66" s="30"/>
      <c r="C66" s="30"/>
      <c r="D66" s="30"/>
      <c r="E66" s="30"/>
      <c r="F66" s="30"/>
      <c r="G66" s="14"/>
      <c r="H66" s="101"/>
      <c r="I66" s="101"/>
      <c r="J66" s="101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2.75" hidden="false" customHeight="true" outlineLevel="0" collapsed="false">
      <c r="A67" s="17" t="n">
        <v>98</v>
      </c>
      <c r="B67" s="18" t="s">
        <v>180</v>
      </c>
      <c r="C67" s="18" t="s">
        <v>181</v>
      </c>
      <c r="D67" s="34" t="n">
        <v>99</v>
      </c>
      <c r="E67" s="18" t="s">
        <v>182</v>
      </c>
      <c r="F67" s="35" t="s">
        <v>181</v>
      </c>
      <c r="G67" s="14"/>
      <c r="H67" s="101"/>
      <c r="I67" s="101"/>
      <c r="J67" s="101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2.75" hidden="false" customHeight="true" outlineLevel="0" collapsed="false">
      <c r="A68" s="20" t="n">
        <v>100</v>
      </c>
      <c r="B68" s="21" t="s">
        <v>183</v>
      </c>
      <c r="C68" s="21" t="s">
        <v>181</v>
      </c>
      <c r="D68" s="39" t="n">
        <v>101</v>
      </c>
      <c r="E68" s="21" t="s">
        <v>184</v>
      </c>
      <c r="F68" s="40" t="s">
        <v>181</v>
      </c>
      <c r="G68" s="14"/>
      <c r="H68" s="101"/>
      <c r="I68" s="101"/>
      <c r="J68" s="101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2.75" hidden="false" customHeight="true" outlineLevel="0" collapsed="false">
      <c r="A69" s="20" t="n">
        <v>102</v>
      </c>
      <c r="B69" s="21" t="s">
        <v>185</v>
      </c>
      <c r="C69" s="102" t="s">
        <v>181</v>
      </c>
      <c r="D69" s="102"/>
      <c r="E69" s="102"/>
      <c r="F69" s="102"/>
      <c r="G69" s="14"/>
      <c r="H69" s="101"/>
      <c r="I69" s="101"/>
      <c r="J69" s="101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50.25" hidden="false" customHeight="true" outlineLevel="0" collapsed="false">
      <c r="A70" s="27" t="n">
        <v>103</v>
      </c>
      <c r="B70" s="28" t="s">
        <v>186</v>
      </c>
      <c r="C70" s="103" t="s">
        <v>181</v>
      </c>
      <c r="D70" s="103"/>
      <c r="E70" s="103"/>
      <c r="F70" s="103"/>
      <c r="G70" s="14"/>
      <c r="H70" s="101"/>
      <c r="I70" s="101"/>
      <c r="J70" s="101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24" hidden="false" customHeight="true" outlineLevel="0" collapsed="false">
      <c r="A71" s="30" t="s">
        <v>187</v>
      </c>
      <c r="B71" s="30"/>
      <c r="C71" s="30"/>
      <c r="D71" s="30"/>
      <c r="E71" s="30"/>
      <c r="F71" s="30"/>
      <c r="G71" s="14"/>
      <c r="H71" s="101"/>
      <c r="I71" s="101"/>
      <c r="J71" s="101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30" hidden="false" customHeight="true" outlineLevel="0" collapsed="false">
      <c r="A72" s="104" t="s">
        <v>188</v>
      </c>
      <c r="B72" s="104"/>
      <c r="C72" s="104"/>
      <c r="D72" s="104"/>
      <c r="E72" s="104"/>
      <c r="F72" s="104"/>
      <c r="G72" s="14"/>
      <c r="H72" s="101"/>
      <c r="I72" s="101"/>
      <c r="J72" s="101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90.5" hidden="false" customHeight="true" outlineLevel="0" collapsed="false">
      <c r="A73" s="20" t="n">
        <v>104</v>
      </c>
      <c r="B73" s="105" t="s">
        <v>189</v>
      </c>
      <c r="C73" s="102"/>
      <c r="D73" s="102"/>
      <c r="E73" s="102"/>
      <c r="F73" s="102"/>
      <c r="G73" s="14"/>
      <c r="H73" s="101"/>
      <c r="I73" s="101"/>
      <c r="J73" s="101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225" hidden="false" customHeight="true" outlineLevel="0" collapsed="false">
      <c r="A74" s="27" t="n">
        <v>105</v>
      </c>
      <c r="B74" s="106" t="s">
        <v>190</v>
      </c>
      <c r="C74" s="77"/>
      <c r="D74" s="77"/>
      <c r="E74" s="77"/>
      <c r="F74" s="77"/>
      <c r="G74" s="14"/>
      <c r="H74" s="101"/>
      <c r="I74" s="101"/>
      <c r="J74" s="101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8" hidden="false" customHeight="true" outlineLevel="0" collapsed="false">
      <c r="A75" s="5" t="n">
        <v>106</v>
      </c>
      <c r="B75" s="6" t="s">
        <v>191</v>
      </c>
      <c r="C75" s="107" t="str">
        <f aca="false">CONCATENATE(H75, ", ", TEXT(DAY(J75), "00"), " de ", O14, " de ", TEXT(YEAR(J75), "0000"), ".")</f>
        <v>, 30 de Diciembre de 1899.</v>
      </c>
      <c r="D75" s="107"/>
      <c r="E75" s="107"/>
      <c r="F75" s="107"/>
      <c r="G75" s="108" t="s">
        <v>192</v>
      </c>
      <c r="H75" s="109"/>
      <c r="I75" s="110" t="s">
        <v>193</v>
      </c>
      <c r="J75" s="111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true" outlineLevel="0" collapsed="false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customFormat="false" ht="12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2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2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2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2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2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2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2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2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2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2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2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2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2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2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2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2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2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2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2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2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2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2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2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2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2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2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2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2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2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2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2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2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2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2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2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2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2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2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2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2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2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2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2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2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2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2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2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2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2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2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2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2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2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2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2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2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2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2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2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2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2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2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2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2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2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2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2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2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2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2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2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2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2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2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2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2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2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2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2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2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2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2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2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2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2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2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2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2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2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2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2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2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2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2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2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2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2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2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2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2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2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2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2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2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2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2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2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2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2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2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2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2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2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2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2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2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2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2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2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2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2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2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2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2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2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2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2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2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2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2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2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2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2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2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2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2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2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2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2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2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2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2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2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2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2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2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2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2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2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2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2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2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2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2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2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2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2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2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2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2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2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2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2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2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2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2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2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2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2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2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2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2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2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2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2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2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2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2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2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2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2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2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2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2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2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2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2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2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2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2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2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2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2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2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2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2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2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2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2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2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2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2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2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2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2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2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2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2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2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2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2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2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2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2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2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2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2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2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2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2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2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2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2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2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2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2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2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2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2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2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2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2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2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2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2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2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2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2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2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2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2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2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2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2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2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2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2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2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2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2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2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2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2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2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2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2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2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2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2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2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2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2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2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2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2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2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2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2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2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2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2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2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2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2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2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2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2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2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2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2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2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2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2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2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2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2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2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2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2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2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2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2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2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2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2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2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2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2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2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2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2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2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2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2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2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2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2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2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2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2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2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2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2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2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2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2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2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2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2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2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2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2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2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2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2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2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2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2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2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2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2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2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2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2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2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2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2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2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2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2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2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2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2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2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2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2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2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2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2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2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2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2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2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2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2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2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2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2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2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2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2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2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2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2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2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2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2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2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2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2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2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2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2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2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2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2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2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2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2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2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2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2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2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2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2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2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2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2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2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2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2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2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2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2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2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2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2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2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2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2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2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2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2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2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2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2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2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2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2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2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2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2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2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2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2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2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2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2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2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2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2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2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2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2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2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2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2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2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2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2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2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2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2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2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2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2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2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2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2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2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2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2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2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2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2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2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2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2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2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2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2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2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2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2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2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2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2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2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2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2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2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2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2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2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2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2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2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2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2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2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2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2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2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2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2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2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2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2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2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2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2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2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2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2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2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2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2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2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2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2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2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2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2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2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2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2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2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2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2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2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2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2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2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2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2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2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2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2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2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2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2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2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2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2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2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2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2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2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2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2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2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2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2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2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2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2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2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2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2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2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2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2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2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2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2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2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2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2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2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2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2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2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2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2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2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2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2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2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2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2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2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2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2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2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2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2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2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2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2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2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2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2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2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2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2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2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2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2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2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2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2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2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2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2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2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2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2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2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2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2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2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2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2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2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2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2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2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2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2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2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2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2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2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2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2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2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2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2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2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2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2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2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2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2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2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2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2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2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2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2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2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2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2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2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2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2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2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2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2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2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2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2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2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2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2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2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2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2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2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2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2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2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2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2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2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2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2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2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2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2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2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2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2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2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2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2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2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2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2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2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2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2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2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2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2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2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2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2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2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2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2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2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2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2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2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2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2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2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2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2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2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2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2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2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2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2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2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2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2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2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2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2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2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2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2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2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2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2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2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2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2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2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2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2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2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2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2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2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2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2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2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2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2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2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2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2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2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2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2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2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2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2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2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2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2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2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2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2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2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2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2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2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2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2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2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2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2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2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2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2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2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2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2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2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2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2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2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2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2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2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2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2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2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2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2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2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2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2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2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2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2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2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2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2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2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2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2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2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2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2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2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2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2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2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2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2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2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2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2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2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2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2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2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2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2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2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2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2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2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2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2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2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2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2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2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2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2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2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2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2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2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2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2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2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2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2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2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2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2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2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2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2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2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2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2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2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2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2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2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2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2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2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2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2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2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2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2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2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2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2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2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2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2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2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2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2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2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2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2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2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2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2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2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2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2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2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2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2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2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2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2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2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2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2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2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2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2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2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2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2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2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2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2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2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2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2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2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2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2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2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2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2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2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2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2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2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2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2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2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2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2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2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2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2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2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2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2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2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2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2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2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2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2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2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2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2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2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2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2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2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2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2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2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2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2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2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2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2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2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2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2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2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2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2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2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2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2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2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2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2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2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2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2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2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2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2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2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2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2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2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2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2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2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1">
    <mergeCell ref="A1:F1"/>
    <mergeCell ref="G1:J2"/>
    <mergeCell ref="D2:E2"/>
    <mergeCell ref="A3:F3"/>
    <mergeCell ref="G3:G74"/>
    <mergeCell ref="H3:J5"/>
    <mergeCell ref="B4:C4"/>
    <mergeCell ref="D4:F4"/>
    <mergeCell ref="B5:C5"/>
    <mergeCell ref="D5:F5"/>
    <mergeCell ref="B6:C6"/>
    <mergeCell ref="D6:F6"/>
    <mergeCell ref="I6:J6"/>
    <mergeCell ref="B7:C7"/>
    <mergeCell ref="D7:F7"/>
    <mergeCell ref="H7:J8"/>
    <mergeCell ref="B8:C8"/>
    <mergeCell ref="D8:F8"/>
    <mergeCell ref="A9:F9"/>
    <mergeCell ref="H18:J20"/>
    <mergeCell ref="C20:F20"/>
    <mergeCell ref="A21:F21"/>
    <mergeCell ref="I21:I22"/>
    <mergeCell ref="H29:J35"/>
    <mergeCell ref="D31:F31"/>
    <mergeCell ref="A32:F32"/>
    <mergeCell ref="C33:F33"/>
    <mergeCell ref="C34:F34"/>
    <mergeCell ref="H36:J36"/>
    <mergeCell ref="C37:F37"/>
    <mergeCell ref="H37:J41"/>
    <mergeCell ref="C38:F38"/>
    <mergeCell ref="H42:I42"/>
    <mergeCell ref="J42:J44"/>
    <mergeCell ref="A43:F43"/>
    <mergeCell ref="A49:F49"/>
    <mergeCell ref="H53:J74"/>
    <mergeCell ref="C54:F54"/>
    <mergeCell ref="A55:F55"/>
    <mergeCell ref="A58:F58"/>
    <mergeCell ref="C59:F59"/>
    <mergeCell ref="C65:F65"/>
    <mergeCell ref="A66:F66"/>
    <mergeCell ref="C69:F69"/>
    <mergeCell ref="C70:F70"/>
    <mergeCell ref="A71:F71"/>
    <mergeCell ref="A72:F72"/>
    <mergeCell ref="C73:F73"/>
    <mergeCell ref="C74:F74"/>
    <mergeCell ref="C75:F75"/>
    <mergeCell ref="A76:J76"/>
  </mergeCells>
  <dataValidations count="6">
    <dataValidation allowBlank="true" errorStyle="stop" operator="equal" prompt="Combustible Inválido - Ingrese uno de los valores de la Tabla V: Tipos de Combustible o Fuente de Energía de la Estandarización de Características Registrables Vehiculares." showDropDown="false" showErrorMessage="true" showInputMessage="true" sqref="F15" type="list">
      <formula1>$L$3:$L$24</formula1>
      <formula2>0</formula2>
    </dataValidation>
    <dataValidation allowBlank="true" errorStyle="stop" operator="equal" prompt="Dato Inválido - Seleccione una de las posibles ubicaciones de la lista desplegable." showDropDown="false" showErrorMessage="true" showInputMessage="true" sqref="C44" type="list">
      <formula1>"NO CORRESPONDE,DELANTERO,CENTRAL,POSTERIOR"</formula1>
      <formula2>0</formula2>
    </dataValidation>
    <dataValidation allowBlank="true" errorStyle="stop" operator="equal" prompt="Valor Inválido - Seleccione una posible posición de la lista desplegable." showDropDown="false" showErrorMessage="true" showInputMessage="true" sqref="F44" type="list">
      <formula1>"NO CORRESPONDE,TRANSVERSAL,LONGITUDINAL"</formula1>
      <formula2>0</formula2>
    </dataValidation>
    <dataValidation allowBlank="true" errorStyle="stop" operator="equal" prompt="Valor Inválido - Selecciona una configuración posible de la lista desplegable." showDropDown="false" showErrorMessage="true" showInputMessage="true" sqref="F45" type="list">
      <formula1>"NO CORRESPONDE,EN LÍNEA,EN V,EN V 90º,OPUESTOS HORIZONTALMENTE"</formula1>
      <formula2>0</formula2>
    </dataValidation>
    <dataValidation allowBlank="true" errorStyle="stop" operator="equal" prompt="Valor Inválido - Seleccione un valor de la lista despegable que corresponda a la Tabla IV del a estandarización vehicular." showDropDown="false" showErrorMessage="true" showInputMessage="true" sqref="F56" type="list">
      <formula1>$M$3:$M$8</formula1>
      <formula2>0</formula2>
    </dataValidation>
    <dataValidation allowBlank="true" errorStyle="stop" operator="equal" prompt="Selección - Debe seleccionar uno de los valores definidos para esta celda." showDropDown="false" showErrorMessage="true" showInputMessage="true" sqref="H75" type="list">
      <formula1>"Lima,Callao,Paita,Piura,Tumbes,Salaverry,Trujillo,Pisco,Moquegua,Matarini,Ilo,Mollendo,Tacna,Puerto Maldonado,Iñapari,Pucallpa,Iquitos,Puno"</formula1>
      <formula2>0</formula2>
    </dataValidation>
  </dataValidations>
  <printOptions headings="false" gridLines="false" gridLinesSet="true" horizontalCentered="true" verticalCentered="true"/>
  <pageMargins left="0.511805555555556" right="0.196527777777778" top="1.18125" bottom="0.39375" header="0" footer="0"/>
  <pageSetup paperSize="9" scale="75" fitToWidth="1" fitToHeight="1" pageOrder="downThenOver" orientation="portrait" blackAndWhite="false" draft="false" cellComments="none" horizontalDpi="300" verticalDpi="300" copies="1"/>
  <headerFooter differentFirst="false" differentOddEven="false">
    <oddHeader>&amp;LCIP 73933&amp;CIng. Emilio David Vidal Domínguez&amp;R&amp;P de</oddHeader>
    <oddFooter>&amp;L Confidencial&amp;C&amp;F&amp;RPágina &amp;P</oddFooter>
  </headerFooter>
  <rowBreaks count="1" manualBreakCount="1">
    <brk id="48" man="true" max="16383" min="0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4" name="No Corresponde">
              <controlPr defaultSize="0" locked="1" autoFill="0" autoLine="0" autoPict="0" print="true" altText="Casilla 1">
                <anchor moveWithCells="true" sizeWithCells="false">
                  <from>
                    <xdr:col>8</xdr:col>
                    <xdr:colOff>725400</xdr:colOff>
                    <xdr:row>8</xdr:row>
                    <xdr:rowOff>20880</xdr:rowOff>
                  </from>
                  <to>
                    <xdr:col>10</xdr:col>
                    <xdr:colOff>23760</xdr:colOff>
                    <xdr:row>9</xdr:row>
                    <xdr:rowOff>-17640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5" name="No Corresponde">
              <controlPr defaultSize="0" locked="1" autoFill="0" autoLine="0" autoPict="0" print="true" altText="Casilla 2">
                <anchor moveWithCells="true" sizeWithCells="false">
                  <from>
                    <xdr:col>7</xdr:col>
                    <xdr:colOff>783360</xdr:colOff>
                    <xdr:row>27</xdr:row>
                    <xdr:rowOff>43920</xdr:rowOff>
                  </from>
                  <to>
                    <xdr:col>9</xdr:col>
                    <xdr:colOff>63720</xdr:colOff>
                    <xdr:row>28</xdr:row>
                    <xdr:rowOff>-175320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6" name="No Corresponde">
              <controlPr defaultSize="0" locked="1" autoFill="0" autoLine="0" autoPict="0" print="true" altText="Casilla 3">
                <anchor moveWithCells="true" sizeWithCells="false">
                  <from>
                    <xdr:col>8</xdr:col>
                    <xdr:colOff>811080</xdr:colOff>
                    <xdr:row>47</xdr:row>
                    <xdr:rowOff>19440</xdr:rowOff>
                  </from>
                  <to>
                    <xdr:col>15</xdr:col>
                    <xdr:colOff>138240</xdr:colOff>
                    <xdr:row>48</xdr:row>
                    <xdr:rowOff>57240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75" workbookViewId="0">
      <selection pane="topLeft" activeCell="C12" activeCellId="0" sqref="C12"/>
    </sheetView>
  </sheetViews>
  <sheetFormatPr defaultColWidth="12.71484375" defaultRowHeight="15" customHeight="true" zeroHeight="false" outlineLevelRow="0" outlineLevelCol="0"/>
  <cols>
    <col collapsed="false" customWidth="true" hidden="false" outlineLevel="0" max="1" min="1" style="0" width="3.78"/>
    <col collapsed="false" customWidth="true" hidden="false" outlineLevel="0" max="2" min="2" style="0" width="25.3"/>
    <col collapsed="false" customWidth="true" hidden="false" outlineLevel="0" max="3" min="3" style="0" width="27.06"/>
    <col collapsed="false" customWidth="true" hidden="false" outlineLevel="0" max="4" min="4" style="0" width="3.78"/>
    <col collapsed="false" customWidth="true" hidden="false" outlineLevel="0" max="5" min="5" style="0" width="25.3"/>
    <col collapsed="false" customWidth="true" hidden="false" outlineLevel="0" max="6" min="6" style="0" width="27.06"/>
    <col collapsed="false" customWidth="true" hidden="false" outlineLevel="0" max="8" min="7" style="0" width="10.07"/>
    <col collapsed="false" customWidth="true" hidden="false" outlineLevel="0" max="9" min="9" style="0" width="10.83"/>
    <col collapsed="false" customWidth="true" hidden="false" outlineLevel="0" max="10" min="10" style="0" width="10.07"/>
    <col collapsed="false" customWidth="true" hidden="false" outlineLevel="0" max="11" min="11" style="0" width="1.13"/>
    <col collapsed="false" customWidth="true" hidden="true" outlineLevel="0" max="12" min="12" style="0" width="4.4"/>
    <col collapsed="false" customWidth="true" hidden="true" outlineLevel="0" max="13" min="13" style="0" width="28.57"/>
    <col collapsed="false" customWidth="true" hidden="true" outlineLevel="0" max="14" min="14" style="0" width="1.13"/>
    <col collapsed="false" customWidth="true" hidden="true" outlineLevel="0" max="15" min="15" style="0" width="9.19"/>
    <col collapsed="false" customWidth="true" hidden="false" outlineLevel="0" max="26" min="16" style="0" width="9.44"/>
  </cols>
  <sheetData>
    <row r="1" customFormat="false" ht="26.25" hidden="false" customHeight="true" outlineLevel="0" collapsed="false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3"/>
      <c r="L1" s="3"/>
      <c r="M1" s="3"/>
      <c r="N1" s="3"/>
      <c r="O1" s="4" t="s">
        <v>1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9.5" hidden="false" customHeight="true" outlineLevel="0" collapsed="false">
      <c r="A2" s="5" t="n">
        <v>1</v>
      </c>
      <c r="B2" s="6" t="s">
        <v>2</v>
      </c>
      <c r="C2" s="7"/>
      <c r="D2" s="8" t="s">
        <v>3</v>
      </c>
      <c r="E2" s="8"/>
      <c r="F2" s="9" t="str">
        <f aca="false">"R" &amp; D5 &amp; "V" &amp; RIGHT(C13,6)</f>
        <v>RV001005</v>
      </c>
      <c r="G2" s="2"/>
      <c r="H2" s="2"/>
      <c r="I2" s="2"/>
      <c r="J2" s="2"/>
      <c r="K2" s="3"/>
      <c r="L2" s="10" t="s">
        <v>4</v>
      </c>
      <c r="M2" s="11" t="s">
        <v>5</v>
      </c>
      <c r="N2" s="3"/>
      <c r="O2" s="12" t="s">
        <v>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24" hidden="false" customHeight="true" outlineLevel="0" collapsed="false">
      <c r="A3" s="13" t="s">
        <v>7</v>
      </c>
      <c r="B3" s="13"/>
      <c r="C3" s="13"/>
      <c r="D3" s="13"/>
      <c r="E3" s="13"/>
      <c r="F3" s="13"/>
      <c r="G3" s="14"/>
      <c r="H3" s="15"/>
      <c r="I3" s="15"/>
      <c r="J3" s="15"/>
      <c r="K3" s="3"/>
      <c r="L3" s="16" t="s">
        <v>8</v>
      </c>
      <c r="M3" s="16" t="s">
        <v>8</v>
      </c>
      <c r="N3" s="3"/>
      <c r="O3" s="12" t="s">
        <v>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9.5" hidden="false" customHeight="true" outlineLevel="0" collapsed="false">
      <c r="A4" s="17" t="n">
        <v>2</v>
      </c>
      <c r="B4" s="18" t="s">
        <v>10</v>
      </c>
      <c r="C4" s="18"/>
      <c r="D4" s="19"/>
      <c r="E4" s="19"/>
      <c r="F4" s="19"/>
      <c r="G4" s="14"/>
      <c r="H4" s="15"/>
      <c r="I4" s="15"/>
      <c r="J4" s="15"/>
      <c r="K4" s="3"/>
      <c r="L4" s="16" t="s">
        <v>11</v>
      </c>
      <c r="M4" s="16" t="s">
        <v>12</v>
      </c>
      <c r="N4" s="3"/>
      <c r="O4" s="12" t="s">
        <v>13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9.5" hidden="false" customHeight="true" outlineLevel="0" collapsed="false">
      <c r="A5" s="20" t="n">
        <v>3</v>
      </c>
      <c r="B5" s="21" t="s">
        <v>14</v>
      </c>
      <c r="C5" s="21"/>
      <c r="D5" s="22"/>
      <c r="E5" s="22"/>
      <c r="F5" s="22"/>
      <c r="G5" s="14"/>
      <c r="H5" s="15"/>
      <c r="I5" s="15"/>
      <c r="J5" s="15"/>
      <c r="K5" s="3"/>
      <c r="L5" s="16" t="s">
        <v>15</v>
      </c>
      <c r="M5" s="16" t="s">
        <v>16</v>
      </c>
      <c r="N5" s="3"/>
      <c r="O5" s="12" t="s">
        <v>17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9.5" hidden="false" customHeight="true" outlineLevel="0" collapsed="false">
      <c r="A6" s="20" t="n">
        <v>4</v>
      </c>
      <c r="B6" s="21" t="s">
        <v>18</v>
      </c>
      <c r="C6" s="21"/>
      <c r="D6" s="22"/>
      <c r="E6" s="22"/>
      <c r="F6" s="22"/>
      <c r="G6" s="14"/>
      <c r="H6" s="23" t="s">
        <v>19</v>
      </c>
      <c r="I6" s="24"/>
      <c r="J6" s="24"/>
      <c r="K6" s="3"/>
      <c r="L6" s="16" t="s">
        <v>20</v>
      </c>
      <c r="M6" s="16" t="s">
        <v>21</v>
      </c>
      <c r="N6" s="3"/>
      <c r="O6" s="12" t="s">
        <v>22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9.5" hidden="false" customHeight="true" outlineLevel="0" collapsed="false">
      <c r="A7" s="20" t="n">
        <v>5</v>
      </c>
      <c r="B7" s="21" t="s">
        <v>23</v>
      </c>
      <c r="C7" s="21"/>
      <c r="D7" s="22"/>
      <c r="E7" s="22"/>
      <c r="F7" s="22"/>
      <c r="G7" s="14"/>
      <c r="H7" s="25" t="s">
        <v>24</v>
      </c>
      <c r="I7" s="25"/>
      <c r="J7" s="25"/>
      <c r="K7" s="3"/>
      <c r="L7" s="16" t="s">
        <v>25</v>
      </c>
      <c r="M7" s="26" t="s">
        <v>26</v>
      </c>
      <c r="N7" s="3"/>
      <c r="O7" s="12" t="s">
        <v>27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9.5" hidden="false" customHeight="true" outlineLevel="0" collapsed="false">
      <c r="A8" s="27" t="n">
        <v>6</v>
      </c>
      <c r="B8" s="28" t="s">
        <v>28</v>
      </c>
      <c r="C8" s="28"/>
      <c r="D8" s="29"/>
      <c r="E8" s="29"/>
      <c r="F8" s="29"/>
      <c r="G8" s="14"/>
      <c r="H8" s="25"/>
      <c r="I8" s="25"/>
      <c r="J8" s="25"/>
      <c r="K8" s="3"/>
      <c r="L8" s="16" t="s">
        <v>29</v>
      </c>
      <c r="M8" s="26" t="s">
        <v>30</v>
      </c>
      <c r="N8" s="3"/>
      <c r="O8" s="12" t="s">
        <v>31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24" hidden="false" customHeight="true" outlineLevel="0" collapsed="false">
      <c r="A9" s="30" t="s">
        <v>32</v>
      </c>
      <c r="B9" s="30"/>
      <c r="C9" s="30"/>
      <c r="D9" s="30"/>
      <c r="E9" s="30"/>
      <c r="F9" s="30"/>
      <c r="G9" s="14"/>
      <c r="H9" s="31" t="s">
        <v>33</v>
      </c>
      <c r="I9" s="32"/>
      <c r="J9" s="33" t="b">
        <v>0</v>
      </c>
      <c r="K9" s="3"/>
      <c r="L9" s="16" t="s">
        <v>34</v>
      </c>
      <c r="M9" s="3"/>
      <c r="N9" s="3"/>
      <c r="O9" s="12" t="s">
        <v>35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8" hidden="false" customHeight="true" outlineLevel="0" collapsed="false">
      <c r="A10" s="17" t="n">
        <v>7</v>
      </c>
      <c r="B10" s="18" t="s">
        <v>36</v>
      </c>
      <c r="C10" s="18"/>
      <c r="D10" s="34" t="n">
        <v>8</v>
      </c>
      <c r="E10" s="18" t="s">
        <v>37</v>
      </c>
      <c r="F10" s="35"/>
      <c r="G10" s="14"/>
      <c r="H10" s="36" t="s">
        <v>38</v>
      </c>
      <c r="I10" s="37" t="n">
        <f aca="false">IF(J9,"NO CORRESPONDE",ROUND(I11,J11))</f>
        <v>0</v>
      </c>
      <c r="J10" s="38" t="s">
        <v>39</v>
      </c>
      <c r="K10" s="3"/>
      <c r="L10" s="16" t="s">
        <v>40</v>
      </c>
      <c r="M10" s="3"/>
      <c r="N10" s="3"/>
      <c r="O10" s="12" t="s">
        <v>41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8" hidden="false" customHeight="true" outlineLevel="0" collapsed="false">
      <c r="A11" s="20" t="n">
        <v>9</v>
      </c>
      <c r="B11" s="21" t="s">
        <v>42</v>
      </c>
      <c r="C11" s="21"/>
      <c r="D11" s="39" t="n">
        <v>10</v>
      </c>
      <c r="E11" s="21" t="s">
        <v>43</v>
      </c>
      <c r="F11" s="40"/>
      <c r="G11" s="14"/>
      <c r="H11" s="41" t="s">
        <v>44</v>
      </c>
      <c r="I11" s="42" t="n">
        <f aca="false">SUM(I12*J12,I13*J13,I14*J14,I15*J17)</f>
        <v>0</v>
      </c>
      <c r="J11" s="38" t="n">
        <v>0</v>
      </c>
      <c r="K11" s="3"/>
      <c r="L11" s="16" t="s">
        <v>45</v>
      </c>
      <c r="M11" s="3"/>
      <c r="N11" s="3"/>
      <c r="O11" s="12" t="s">
        <v>46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8" hidden="false" customHeight="true" outlineLevel="0" collapsed="false">
      <c r="A12" s="20" t="n">
        <v>11</v>
      </c>
      <c r="B12" s="21" t="s">
        <v>47</v>
      </c>
      <c r="C12" s="43" t="s">
        <v>197</v>
      </c>
      <c r="D12" s="39" t="n">
        <v>12</v>
      </c>
      <c r="E12" s="21" t="s">
        <v>49</v>
      </c>
      <c r="F12" s="40"/>
      <c r="G12" s="14"/>
      <c r="H12" s="44" t="s">
        <v>50</v>
      </c>
      <c r="I12" s="45"/>
      <c r="J12" s="38" t="n">
        <v>1</v>
      </c>
      <c r="K12" s="3"/>
      <c r="L12" s="16" t="s">
        <v>51</v>
      </c>
      <c r="M12" s="3"/>
      <c r="N12" s="3"/>
      <c r="O12" s="12" t="s">
        <v>52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8" hidden="false" customHeight="true" outlineLevel="0" collapsed="false">
      <c r="A13" s="20" t="n">
        <v>13</v>
      </c>
      <c r="B13" s="21" t="s">
        <v>53</v>
      </c>
      <c r="C13" s="46" t="str">
        <f aca="false">IF(ISBLANK(I6), C12, I6)</f>
        <v>ABCDE1234WX001005</v>
      </c>
      <c r="D13" s="39" t="n">
        <v>14</v>
      </c>
      <c r="E13" s="21" t="s">
        <v>54</v>
      </c>
      <c r="F13" s="35"/>
      <c r="G13" s="14"/>
      <c r="H13" s="47" t="s">
        <v>55</v>
      </c>
      <c r="I13" s="48"/>
      <c r="J13" s="38" t="n">
        <v>1.609344</v>
      </c>
      <c r="K13" s="3"/>
      <c r="L13" s="16" t="s">
        <v>56</v>
      </c>
      <c r="M13" s="3"/>
      <c r="N13" s="3"/>
      <c r="O13" s="49" t="s">
        <v>57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8" hidden="false" customHeight="true" outlineLevel="0" collapsed="false">
      <c r="A14" s="20" t="n">
        <v>15</v>
      </c>
      <c r="B14" s="21" t="s">
        <v>58</v>
      </c>
      <c r="C14" s="21"/>
      <c r="D14" s="39" t="n">
        <v>16</v>
      </c>
      <c r="E14" s="21" t="s">
        <v>59</v>
      </c>
      <c r="F14" s="40"/>
      <c r="G14" s="14"/>
      <c r="H14" s="41" t="s">
        <v>60</v>
      </c>
      <c r="I14" s="50"/>
      <c r="J14" s="38" t="n">
        <v>1.853184</v>
      </c>
      <c r="K14" s="3"/>
      <c r="L14" s="16" t="s">
        <v>61</v>
      </c>
      <c r="M14" s="3"/>
      <c r="N14" s="3"/>
      <c r="O14" s="3" t="str">
        <f aca="false">CHOOSE(MONTH(J75),O2,O3,O4,O5,O6,O7,O8,O9,O10,O11,O12,O13)</f>
        <v>Diciembre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8" hidden="false" customHeight="true" outlineLevel="0" collapsed="false">
      <c r="A15" s="20" t="n">
        <v>17</v>
      </c>
      <c r="B15" s="21" t="s">
        <v>62</v>
      </c>
      <c r="C15" s="51"/>
      <c r="D15" s="39" t="n">
        <v>18</v>
      </c>
      <c r="E15" s="21" t="s">
        <v>63</v>
      </c>
      <c r="F15" s="40"/>
      <c r="G15" s="14"/>
      <c r="H15" s="41" t="s">
        <v>44</v>
      </c>
      <c r="I15" s="52" t="n">
        <f aca="false">SUM(I17/60,H17)</f>
        <v>0</v>
      </c>
      <c r="J15" s="38" t="s">
        <v>64</v>
      </c>
      <c r="K15" s="3"/>
      <c r="L15" s="16" t="s">
        <v>65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8" hidden="false" customHeight="true" outlineLevel="0" collapsed="false">
      <c r="A16" s="20" t="n">
        <v>19</v>
      </c>
      <c r="B16" s="21" t="s">
        <v>66</v>
      </c>
      <c r="C16" s="21"/>
      <c r="D16" s="39" t="n">
        <v>20</v>
      </c>
      <c r="E16" s="21" t="s">
        <v>67</v>
      </c>
      <c r="F16" s="40"/>
      <c r="G16" s="14"/>
      <c r="H16" s="41" t="s">
        <v>68</v>
      </c>
      <c r="I16" s="53" t="s">
        <v>69</v>
      </c>
      <c r="J16" s="54" t="s">
        <v>70</v>
      </c>
      <c r="K16" s="3"/>
      <c r="L16" s="16" t="s">
        <v>71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8" hidden="false" customHeight="true" outlineLevel="0" collapsed="false">
      <c r="A17" s="20" t="n">
        <v>21</v>
      </c>
      <c r="B17" s="21" t="s">
        <v>72</v>
      </c>
      <c r="C17" s="21"/>
      <c r="D17" s="39" t="n">
        <v>22</v>
      </c>
      <c r="E17" s="21" t="s">
        <v>73</v>
      </c>
      <c r="F17" s="40"/>
      <c r="G17" s="14"/>
      <c r="H17" s="55" t="n">
        <v>0</v>
      </c>
      <c r="I17" s="56" t="n">
        <v>0</v>
      </c>
      <c r="J17" s="57" t="n">
        <v>0</v>
      </c>
      <c r="K17" s="3"/>
      <c r="L17" s="16" t="s">
        <v>74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8" hidden="false" customHeight="true" outlineLevel="0" collapsed="false">
      <c r="A18" s="20" t="n">
        <v>23</v>
      </c>
      <c r="B18" s="21" t="s">
        <v>75</v>
      </c>
      <c r="C18" s="21"/>
      <c r="D18" s="39" t="n">
        <v>24</v>
      </c>
      <c r="E18" s="21" t="s">
        <v>76</v>
      </c>
      <c r="F18" s="40"/>
      <c r="G18" s="14"/>
      <c r="H18" s="58"/>
      <c r="I18" s="58"/>
      <c r="J18" s="58"/>
      <c r="K18" s="3"/>
      <c r="L18" s="16" t="s">
        <v>77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8" hidden="false" customHeight="true" outlineLevel="0" collapsed="false">
      <c r="A19" s="20" t="n">
        <v>25</v>
      </c>
      <c r="B19" s="21" t="s">
        <v>33</v>
      </c>
      <c r="C19" s="21" t="n">
        <f aca="false">I10</f>
        <v>0</v>
      </c>
      <c r="D19" s="39" t="n">
        <v>26</v>
      </c>
      <c r="E19" s="21" t="s">
        <v>78</v>
      </c>
      <c r="F19" s="59"/>
      <c r="G19" s="14"/>
      <c r="H19" s="58"/>
      <c r="I19" s="58"/>
      <c r="J19" s="58"/>
      <c r="K19" s="3"/>
      <c r="L19" s="16" t="s">
        <v>79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8" hidden="false" customHeight="true" outlineLevel="0" collapsed="false">
      <c r="A20" s="27" t="n">
        <v>27</v>
      </c>
      <c r="B20" s="28" t="s">
        <v>80</v>
      </c>
      <c r="C20" s="60"/>
      <c r="D20" s="60"/>
      <c r="E20" s="60"/>
      <c r="F20" s="60"/>
      <c r="G20" s="14"/>
      <c r="H20" s="58"/>
      <c r="I20" s="58"/>
      <c r="J20" s="58"/>
      <c r="K20" s="3"/>
      <c r="L20" s="16" t="s">
        <v>81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24" hidden="false" customHeight="true" outlineLevel="0" collapsed="false">
      <c r="A21" s="30" t="s">
        <v>82</v>
      </c>
      <c r="B21" s="30"/>
      <c r="C21" s="30"/>
      <c r="D21" s="30"/>
      <c r="E21" s="30"/>
      <c r="F21" s="30"/>
      <c r="G21" s="14"/>
      <c r="H21" s="61" t="s">
        <v>83</v>
      </c>
      <c r="I21" s="62" t="s">
        <v>84</v>
      </c>
      <c r="J21" s="63"/>
      <c r="K21" s="3"/>
      <c r="L21" s="16" t="s">
        <v>85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8" hidden="false" customHeight="true" outlineLevel="0" collapsed="false">
      <c r="A22" s="17" t="n">
        <v>28</v>
      </c>
      <c r="B22" s="18" t="s">
        <v>86</v>
      </c>
      <c r="C22" s="64"/>
      <c r="D22" s="34" t="n">
        <v>29</v>
      </c>
      <c r="E22" s="18" t="s">
        <v>87</v>
      </c>
      <c r="F22" s="65"/>
      <c r="G22" s="14"/>
      <c r="H22" s="66"/>
      <c r="I22" s="62"/>
      <c r="J22" s="67"/>
      <c r="K22" s="3"/>
      <c r="L22" s="16" t="s">
        <v>88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8" hidden="false" customHeight="true" outlineLevel="0" collapsed="false">
      <c r="A23" s="20" t="n">
        <v>30</v>
      </c>
      <c r="B23" s="21" t="s">
        <v>89</v>
      </c>
      <c r="C23" s="68"/>
      <c r="D23" s="39" t="n">
        <v>31</v>
      </c>
      <c r="E23" s="21" t="s">
        <v>90</v>
      </c>
      <c r="F23" s="69"/>
      <c r="G23" s="14"/>
      <c r="H23" s="70"/>
      <c r="I23" s="71" t="s">
        <v>91</v>
      </c>
      <c r="J23" s="67"/>
      <c r="K23" s="3"/>
      <c r="L23" s="16" t="s">
        <v>92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8" hidden="false" customHeight="true" outlineLevel="0" collapsed="false">
      <c r="A24" s="20" t="n">
        <v>32</v>
      </c>
      <c r="B24" s="21" t="s">
        <v>93</v>
      </c>
      <c r="C24" s="68"/>
      <c r="D24" s="39" t="n">
        <v>33</v>
      </c>
      <c r="E24" s="21" t="s">
        <v>94</v>
      </c>
      <c r="F24" s="69"/>
      <c r="G24" s="14"/>
      <c r="H24" s="72" t="s">
        <v>44</v>
      </c>
      <c r="I24" s="73" t="n">
        <f aca="false">ROUND(IF(ISBLANK(I25), IF(ISBLANK(I26), IF(ISBLANK(I27), 0, I27*J27), I26*J26), I25),0)</f>
        <v>0</v>
      </c>
      <c r="J24" s="67"/>
      <c r="K24" s="3"/>
      <c r="L24" s="26" t="s">
        <v>95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8" hidden="false" customHeight="true" outlineLevel="0" collapsed="false">
      <c r="A25" s="20" t="n">
        <v>34</v>
      </c>
      <c r="B25" s="21" t="s">
        <v>96</v>
      </c>
      <c r="C25" s="68"/>
      <c r="D25" s="39" t="n">
        <v>35</v>
      </c>
      <c r="E25" s="21" t="s">
        <v>97</v>
      </c>
      <c r="F25" s="69"/>
      <c r="G25" s="14"/>
      <c r="H25" s="72" t="s">
        <v>98</v>
      </c>
      <c r="I25" s="45"/>
      <c r="J25" s="67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8" hidden="false" customHeight="true" outlineLevel="0" collapsed="false">
      <c r="A26" s="20" t="n">
        <v>36</v>
      </c>
      <c r="B26" s="21" t="s">
        <v>99</v>
      </c>
      <c r="C26" s="21"/>
      <c r="D26" s="39" t="n">
        <v>37</v>
      </c>
      <c r="E26" s="21" t="s">
        <v>100</v>
      </c>
      <c r="F26" s="40"/>
      <c r="G26" s="14"/>
      <c r="H26" s="72" t="s">
        <v>101</v>
      </c>
      <c r="I26" s="48"/>
      <c r="J26" s="38" t="n">
        <v>0.7456999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8" hidden="false" customHeight="true" outlineLevel="0" collapsed="false">
      <c r="A27" s="20" t="n">
        <v>38</v>
      </c>
      <c r="B27" s="21" t="s">
        <v>102</v>
      </c>
      <c r="C27" s="21"/>
      <c r="D27" s="39" t="n">
        <v>39</v>
      </c>
      <c r="E27" s="21" t="s">
        <v>103</v>
      </c>
      <c r="F27" s="40"/>
      <c r="G27" s="14"/>
      <c r="H27" s="72" t="s">
        <v>104</v>
      </c>
      <c r="I27" s="50"/>
      <c r="J27" s="38" t="n">
        <v>0.735498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36" hidden="false" customHeight="true" outlineLevel="0" collapsed="false">
      <c r="A28" s="20" t="n">
        <v>40</v>
      </c>
      <c r="B28" s="21" t="s">
        <v>105</v>
      </c>
      <c r="C28" s="21"/>
      <c r="D28" s="39" t="n">
        <v>41</v>
      </c>
      <c r="E28" s="21" t="s">
        <v>106</v>
      </c>
      <c r="F28" s="40"/>
      <c r="G28" s="14"/>
      <c r="H28" s="72" t="s">
        <v>107</v>
      </c>
      <c r="I28" s="74" t="b">
        <v>1</v>
      </c>
      <c r="J28" s="67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36" hidden="false" customHeight="true" outlineLevel="0" collapsed="false">
      <c r="A29" s="20" t="n">
        <v>42</v>
      </c>
      <c r="B29" s="21" t="s">
        <v>108</v>
      </c>
      <c r="C29" s="21"/>
      <c r="D29" s="39" t="n">
        <v>43</v>
      </c>
      <c r="E29" s="21" t="s">
        <v>109</v>
      </c>
      <c r="F29" s="40"/>
      <c r="G29" s="14"/>
      <c r="H29" s="75" t="s">
        <v>110</v>
      </c>
      <c r="I29" s="75"/>
      <c r="J29" s="75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36" hidden="false" customHeight="true" outlineLevel="0" collapsed="false">
      <c r="A30" s="20" t="n">
        <v>44</v>
      </c>
      <c r="B30" s="21" t="s">
        <v>111</v>
      </c>
      <c r="C30" s="21"/>
      <c r="D30" s="39" t="n">
        <v>45</v>
      </c>
      <c r="E30" s="21" t="s">
        <v>112</v>
      </c>
      <c r="F30" s="76" t="str">
        <f aca="false">IF(I28,"NO CORRESPONDE",I24*1000/(F26+IF(ISNUMBER(C31),C31*1000,0)))</f>
        <v>NO CORRESPONDE</v>
      </c>
      <c r="G30" s="14"/>
      <c r="H30" s="14"/>
      <c r="I30" s="75"/>
      <c r="J30" s="75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8" hidden="false" customHeight="true" outlineLevel="0" collapsed="false">
      <c r="A31" s="27" t="n">
        <v>46</v>
      </c>
      <c r="B31" s="28" t="s">
        <v>113</v>
      </c>
      <c r="C31" s="28"/>
      <c r="D31" s="77"/>
      <c r="E31" s="77"/>
      <c r="F31" s="77"/>
      <c r="G31" s="14"/>
      <c r="H31" s="14"/>
      <c r="I31" s="75"/>
      <c r="J31" s="75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24" hidden="false" customHeight="true" outlineLevel="0" collapsed="false">
      <c r="A32" s="30" t="s">
        <v>114</v>
      </c>
      <c r="B32" s="30"/>
      <c r="C32" s="30"/>
      <c r="D32" s="30"/>
      <c r="E32" s="30"/>
      <c r="F32" s="30"/>
      <c r="G32" s="14"/>
      <c r="H32" s="14"/>
      <c r="I32" s="75"/>
      <c r="J32" s="75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8" hidden="false" customHeight="true" outlineLevel="0" collapsed="false">
      <c r="A33" s="17" t="n">
        <v>47</v>
      </c>
      <c r="B33" s="18" t="s">
        <v>115</v>
      </c>
      <c r="C33" s="78"/>
      <c r="D33" s="78"/>
      <c r="E33" s="78"/>
      <c r="F33" s="78"/>
      <c r="G33" s="14"/>
      <c r="H33" s="14"/>
      <c r="I33" s="75"/>
      <c r="J33" s="75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8" hidden="false" customHeight="true" outlineLevel="0" collapsed="false">
      <c r="A34" s="20" t="n">
        <v>48</v>
      </c>
      <c r="B34" s="21" t="s">
        <v>116</v>
      </c>
      <c r="C34" s="40"/>
      <c r="D34" s="40"/>
      <c r="E34" s="40"/>
      <c r="F34" s="40"/>
      <c r="G34" s="14"/>
      <c r="H34" s="14"/>
      <c r="I34" s="75"/>
      <c r="J34" s="75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8" hidden="false" customHeight="true" outlineLevel="0" collapsed="false">
      <c r="A35" s="20" t="n">
        <v>49</v>
      </c>
      <c r="B35" s="21" t="s">
        <v>117</v>
      </c>
      <c r="C35" s="21"/>
      <c r="D35" s="39" t="n">
        <v>50</v>
      </c>
      <c r="E35" s="21" t="s">
        <v>118</v>
      </c>
      <c r="F35" s="40"/>
      <c r="G35" s="14"/>
      <c r="H35" s="14"/>
      <c r="I35" s="75"/>
      <c r="J35" s="75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8" hidden="false" customHeight="true" outlineLevel="0" collapsed="false">
      <c r="A36" s="20" t="n">
        <v>51</v>
      </c>
      <c r="B36" s="21" t="s">
        <v>119</v>
      </c>
      <c r="C36" s="21"/>
      <c r="D36" s="39" t="n">
        <v>52</v>
      </c>
      <c r="E36" s="21" t="s">
        <v>120</v>
      </c>
      <c r="F36" s="40"/>
      <c r="G36" s="14"/>
      <c r="H36" s="79"/>
      <c r="I36" s="79"/>
      <c r="J36" s="79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8" hidden="false" customHeight="true" outlineLevel="0" collapsed="false">
      <c r="A37" s="20" t="n">
        <v>53</v>
      </c>
      <c r="B37" s="21" t="s">
        <v>121</v>
      </c>
      <c r="C37" s="40"/>
      <c r="D37" s="40"/>
      <c r="E37" s="40"/>
      <c r="F37" s="40"/>
      <c r="G37" s="14"/>
      <c r="H37" s="58"/>
      <c r="I37" s="58"/>
      <c r="J37" s="58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8" hidden="false" customHeight="true" outlineLevel="0" collapsed="false">
      <c r="A38" s="20" t="n">
        <v>54</v>
      </c>
      <c r="B38" s="21" t="s">
        <v>122</v>
      </c>
      <c r="C38" s="80"/>
      <c r="D38" s="80"/>
      <c r="E38" s="80"/>
      <c r="F38" s="80"/>
      <c r="G38" s="14"/>
      <c r="H38" s="58"/>
      <c r="I38" s="58"/>
      <c r="J38" s="58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8" hidden="false" customHeight="true" outlineLevel="0" collapsed="false">
      <c r="A39" s="20" t="n">
        <v>55</v>
      </c>
      <c r="B39" s="21" t="s">
        <v>123</v>
      </c>
      <c r="C39" s="21"/>
      <c r="D39" s="39" t="n">
        <v>56</v>
      </c>
      <c r="E39" s="21" t="s">
        <v>124</v>
      </c>
      <c r="F39" s="40"/>
      <c r="G39" s="14"/>
      <c r="H39" s="58"/>
      <c r="I39" s="58"/>
      <c r="J39" s="58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8" hidden="false" customHeight="true" outlineLevel="0" collapsed="false">
      <c r="A40" s="20" t="n">
        <v>57</v>
      </c>
      <c r="B40" s="21" t="s">
        <v>125</v>
      </c>
      <c r="C40" s="21"/>
      <c r="D40" s="39" t="n">
        <v>58</v>
      </c>
      <c r="E40" s="21" t="s">
        <v>126</v>
      </c>
      <c r="F40" s="40"/>
      <c r="G40" s="14"/>
      <c r="H40" s="58"/>
      <c r="I40" s="58"/>
      <c r="J40" s="58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36" hidden="false" customHeight="true" outlineLevel="0" collapsed="false">
      <c r="A41" s="20" t="n">
        <v>59</v>
      </c>
      <c r="B41" s="21" t="s">
        <v>127</v>
      </c>
      <c r="C41" s="81"/>
      <c r="D41" s="39" t="n">
        <v>60</v>
      </c>
      <c r="E41" s="21" t="s">
        <v>128</v>
      </c>
      <c r="F41" s="40"/>
      <c r="G41" s="14"/>
      <c r="H41" s="58"/>
      <c r="I41" s="58"/>
      <c r="J41" s="58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36" hidden="false" customHeight="true" outlineLevel="0" collapsed="false">
      <c r="A42" s="27" t="n">
        <v>61</v>
      </c>
      <c r="B42" s="28" t="s">
        <v>129</v>
      </c>
      <c r="C42" s="82" t="str">
        <f aca="false">IF(ISNUMBER(I43),ROUND(I43,0),I43)</f>
        <v>NO CORRESPONDE</v>
      </c>
      <c r="D42" s="83" t="n">
        <v>62</v>
      </c>
      <c r="E42" s="28" t="s">
        <v>130</v>
      </c>
      <c r="F42" s="84"/>
      <c r="G42" s="14"/>
      <c r="H42" s="85" t="s">
        <v>131</v>
      </c>
      <c r="I42" s="85"/>
      <c r="J42" s="86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24" hidden="false" customHeight="true" outlineLevel="0" collapsed="false">
      <c r="A43" s="30" t="s">
        <v>132</v>
      </c>
      <c r="B43" s="30"/>
      <c r="C43" s="30"/>
      <c r="D43" s="30"/>
      <c r="E43" s="30"/>
      <c r="F43" s="30"/>
      <c r="G43" s="14"/>
      <c r="H43" s="72" t="s">
        <v>44</v>
      </c>
      <c r="I43" s="87" t="str">
        <f aca="false">IF(ISBLANK(I44), IF(ISBLANK(I45), IF(ISBLANK(I46), "NO CORRESPONDE", I46*J46), I45*J45), I44)</f>
        <v>NO CORRESPONDE</v>
      </c>
      <c r="J43" s="86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8" hidden="false" customHeight="true" outlineLevel="0" collapsed="false">
      <c r="A44" s="17" t="n">
        <v>63</v>
      </c>
      <c r="B44" s="18" t="s">
        <v>133</v>
      </c>
      <c r="C44" s="18"/>
      <c r="D44" s="34" t="n">
        <v>64</v>
      </c>
      <c r="E44" s="18" t="s">
        <v>134</v>
      </c>
      <c r="F44" s="35"/>
      <c r="G44" s="14"/>
      <c r="H44" s="72" t="s">
        <v>135</v>
      </c>
      <c r="I44" s="45"/>
      <c r="J44" s="86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8" hidden="false" customHeight="true" outlineLevel="0" collapsed="false">
      <c r="A45" s="20" t="n">
        <v>65</v>
      </c>
      <c r="B45" s="21" t="s">
        <v>136</v>
      </c>
      <c r="C45" s="21"/>
      <c r="D45" s="39" t="n">
        <v>66</v>
      </c>
      <c r="E45" s="21" t="s">
        <v>137</v>
      </c>
      <c r="F45" s="40"/>
      <c r="G45" s="14"/>
      <c r="H45" s="72" t="s">
        <v>138</v>
      </c>
      <c r="I45" s="48"/>
      <c r="J45" s="38" t="n">
        <v>3.785412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8" hidden="false" customHeight="true" outlineLevel="0" collapsed="false">
      <c r="A46" s="20" t="n">
        <v>67</v>
      </c>
      <c r="B46" s="21" t="s">
        <v>139</v>
      </c>
      <c r="C46" s="21" t="n">
        <f aca="false">I49</f>
        <v>0</v>
      </c>
      <c r="D46" s="39" t="n">
        <v>68</v>
      </c>
      <c r="E46" s="21" t="s">
        <v>140</v>
      </c>
      <c r="F46" s="40"/>
      <c r="G46" s="14"/>
      <c r="H46" s="88" t="s">
        <v>141</v>
      </c>
      <c r="I46" s="89"/>
      <c r="J46" s="90" t="n">
        <v>4.546092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8" hidden="false" customHeight="true" outlineLevel="0" collapsed="false">
      <c r="A47" s="20" t="n">
        <v>69</v>
      </c>
      <c r="B47" s="21" t="s">
        <v>142</v>
      </c>
      <c r="C47" s="21"/>
      <c r="D47" s="39" t="n">
        <v>70</v>
      </c>
      <c r="E47" s="21" t="s">
        <v>143</v>
      </c>
      <c r="F47" s="40" t="str">
        <f aca="false">IF(ISNUMBER(H22), I24 &amp; " kW. @ " &amp; H22 &amp; " rpm", "NO CORRESPONDE")</f>
        <v>NO CORRESPONDE</v>
      </c>
      <c r="G47" s="14"/>
      <c r="H47" s="91"/>
      <c r="I47" s="91"/>
      <c r="J47" s="91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8" hidden="false" customHeight="true" outlineLevel="0" collapsed="false">
      <c r="A48" s="92" t="n">
        <v>71</v>
      </c>
      <c r="B48" s="93" t="s">
        <v>144</v>
      </c>
      <c r="C48" s="93"/>
      <c r="D48" s="94" t="n">
        <v>72</v>
      </c>
      <c r="E48" s="95" t="s">
        <v>145</v>
      </c>
      <c r="F48" s="60"/>
      <c r="G48" s="14"/>
      <c r="H48" s="61" t="s">
        <v>146</v>
      </c>
      <c r="I48" s="96"/>
      <c r="J48" s="97" t="b"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24" hidden="false" customHeight="true" outlineLevel="0" collapsed="false">
      <c r="A49" s="30" t="s">
        <v>147</v>
      </c>
      <c r="B49" s="30"/>
      <c r="C49" s="30"/>
      <c r="D49" s="30"/>
      <c r="E49" s="30"/>
      <c r="F49" s="30"/>
      <c r="G49" s="14"/>
      <c r="H49" s="72" t="s">
        <v>44</v>
      </c>
      <c r="I49" s="87" t="n">
        <f aca="false">IF(J48, "NO CORRESPONDE", SUM(J50:J52))</f>
        <v>0</v>
      </c>
      <c r="J49" s="38" t="s">
        <v>148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8" hidden="false" customHeight="true" outlineLevel="0" collapsed="false">
      <c r="A50" s="17" t="n">
        <v>73</v>
      </c>
      <c r="B50" s="18" t="s">
        <v>149</v>
      </c>
      <c r="C50" s="18"/>
      <c r="D50" s="98" t="n">
        <v>74</v>
      </c>
      <c r="E50" s="98" t="s">
        <v>150</v>
      </c>
      <c r="F50" s="35"/>
      <c r="G50" s="14"/>
      <c r="H50" s="72" t="s">
        <v>151</v>
      </c>
      <c r="I50" s="45"/>
      <c r="J50" s="38" t="n">
        <f aca="false">I50*1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8" hidden="false" customHeight="true" outlineLevel="0" collapsed="false">
      <c r="A51" s="20" t="n">
        <v>75</v>
      </c>
      <c r="B51" s="21" t="s">
        <v>152</v>
      </c>
      <c r="C51" s="21"/>
      <c r="D51" s="39" t="n">
        <v>76</v>
      </c>
      <c r="E51" s="21" t="s">
        <v>153</v>
      </c>
      <c r="F51" s="99"/>
      <c r="G51" s="14"/>
      <c r="H51" s="72" t="s">
        <v>154</v>
      </c>
      <c r="I51" s="48"/>
      <c r="J51" s="38" t="n">
        <f aca="false">I51*1000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8" hidden="false" customHeight="true" outlineLevel="0" collapsed="false">
      <c r="A52" s="20" t="n">
        <v>77</v>
      </c>
      <c r="B52" s="21" t="s">
        <v>155</v>
      </c>
      <c r="C52" s="100"/>
      <c r="D52" s="39" t="n">
        <v>78</v>
      </c>
      <c r="E52" s="21" t="s">
        <v>156</v>
      </c>
      <c r="F52" s="99" t="str">
        <f aca="false">IF(AND(ISNUMBER(F51), ISNUMBER(C52)), SUM(F51,C52), "NO CORRESPONDE")</f>
        <v>NO CORRESPONDE</v>
      </c>
      <c r="G52" s="14"/>
      <c r="H52" s="88" t="s">
        <v>157</v>
      </c>
      <c r="I52" s="50"/>
      <c r="J52" s="90" t="n">
        <f aca="false">I52*16.3871</f>
        <v>0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8" hidden="false" customHeight="true" outlineLevel="0" collapsed="false">
      <c r="A53" s="20" t="n">
        <v>79</v>
      </c>
      <c r="B53" s="21" t="s">
        <v>158</v>
      </c>
      <c r="C53" s="100"/>
      <c r="D53" s="39" t="n">
        <v>80</v>
      </c>
      <c r="E53" s="21" t="s">
        <v>159</v>
      </c>
      <c r="F53" s="76"/>
      <c r="G53" s="14"/>
      <c r="H53" s="101"/>
      <c r="I53" s="101"/>
      <c r="J53" s="101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8" hidden="false" customHeight="true" outlineLevel="0" collapsed="false">
      <c r="A54" s="27" t="n">
        <v>81</v>
      </c>
      <c r="B54" s="28" t="s">
        <v>160</v>
      </c>
      <c r="C54" s="60"/>
      <c r="D54" s="60"/>
      <c r="E54" s="60"/>
      <c r="F54" s="60"/>
      <c r="G54" s="14"/>
      <c r="H54" s="101"/>
      <c r="I54" s="101"/>
      <c r="J54" s="101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24" hidden="false" customHeight="true" outlineLevel="0" collapsed="false">
      <c r="A55" s="30" t="s">
        <v>161</v>
      </c>
      <c r="B55" s="30"/>
      <c r="C55" s="30"/>
      <c r="D55" s="30"/>
      <c r="E55" s="30"/>
      <c r="F55" s="30"/>
      <c r="G55" s="14"/>
      <c r="H55" s="101"/>
      <c r="I55" s="101"/>
      <c r="J55" s="101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8" hidden="false" customHeight="true" outlineLevel="0" collapsed="false">
      <c r="A56" s="17" t="n">
        <v>82</v>
      </c>
      <c r="B56" s="18" t="s">
        <v>162</v>
      </c>
      <c r="C56" s="18"/>
      <c r="D56" s="34" t="n">
        <v>83</v>
      </c>
      <c r="E56" s="18" t="s">
        <v>163</v>
      </c>
      <c r="F56" s="35"/>
      <c r="G56" s="14"/>
      <c r="H56" s="101"/>
      <c r="I56" s="101"/>
      <c r="J56" s="101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8" hidden="false" customHeight="true" outlineLevel="0" collapsed="false">
      <c r="A57" s="27" t="n">
        <v>84</v>
      </c>
      <c r="B57" s="28" t="s">
        <v>164</v>
      </c>
      <c r="C57" s="28"/>
      <c r="D57" s="83" t="n">
        <v>85</v>
      </c>
      <c r="E57" s="28" t="s">
        <v>165</v>
      </c>
      <c r="F57" s="84"/>
      <c r="G57" s="14"/>
      <c r="H57" s="101"/>
      <c r="I57" s="101"/>
      <c r="J57" s="101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24" hidden="false" customHeight="true" outlineLevel="0" collapsed="false">
      <c r="A58" s="30" t="s">
        <v>166</v>
      </c>
      <c r="B58" s="30"/>
      <c r="C58" s="30"/>
      <c r="D58" s="30"/>
      <c r="E58" s="30"/>
      <c r="F58" s="30"/>
      <c r="G58" s="14"/>
      <c r="H58" s="101"/>
      <c r="I58" s="101"/>
      <c r="J58" s="101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8" hidden="false" customHeight="true" outlineLevel="0" collapsed="false">
      <c r="A59" s="17" t="n">
        <v>86</v>
      </c>
      <c r="B59" s="18" t="s">
        <v>167</v>
      </c>
      <c r="C59" s="78"/>
      <c r="D59" s="78"/>
      <c r="E59" s="78"/>
      <c r="F59" s="78"/>
      <c r="G59" s="14"/>
      <c r="H59" s="101"/>
      <c r="I59" s="101"/>
      <c r="J59" s="101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27" hidden="false" customHeight="true" outlineLevel="0" collapsed="false">
      <c r="A60" s="20" t="n">
        <v>87</v>
      </c>
      <c r="B60" s="21" t="s">
        <v>168</v>
      </c>
      <c r="C60" s="21"/>
      <c r="D60" s="39" t="n">
        <v>88</v>
      </c>
      <c r="E60" s="21" t="s">
        <v>169</v>
      </c>
      <c r="F60" s="40"/>
      <c r="G60" s="14"/>
      <c r="H60" s="101"/>
      <c r="I60" s="101"/>
      <c r="J60" s="101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8" hidden="false" customHeight="true" outlineLevel="0" collapsed="false">
      <c r="A61" s="20" t="n">
        <v>89</v>
      </c>
      <c r="B61" s="21" t="s">
        <v>170</v>
      </c>
      <c r="C61" s="21"/>
      <c r="D61" s="39" t="n">
        <v>90</v>
      </c>
      <c r="E61" s="21" t="s">
        <v>171</v>
      </c>
      <c r="F61" s="40"/>
      <c r="G61" s="14"/>
      <c r="H61" s="101"/>
      <c r="I61" s="101"/>
      <c r="J61" s="101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8" hidden="false" customHeight="true" outlineLevel="0" collapsed="false">
      <c r="A62" s="20" t="n">
        <v>91</v>
      </c>
      <c r="B62" s="21" t="s">
        <v>172</v>
      </c>
      <c r="C62" s="21"/>
      <c r="D62" s="39" t="n">
        <v>92</v>
      </c>
      <c r="E62" s="21" t="s">
        <v>173</v>
      </c>
      <c r="F62" s="40"/>
      <c r="G62" s="14"/>
      <c r="H62" s="101"/>
      <c r="I62" s="101"/>
      <c r="J62" s="101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8" hidden="false" customHeight="true" outlineLevel="0" collapsed="false">
      <c r="A63" s="20" t="n">
        <v>93</v>
      </c>
      <c r="B63" s="21" t="s">
        <v>174</v>
      </c>
      <c r="C63" s="21"/>
      <c r="D63" s="39" t="n">
        <v>94</v>
      </c>
      <c r="E63" s="21" t="s">
        <v>175</v>
      </c>
      <c r="F63" s="40"/>
      <c r="G63" s="14"/>
      <c r="H63" s="101"/>
      <c r="I63" s="101"/>
      <c r="J63" s="101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8" hidden="false" customHeight="true" outlineLevel="0" collapsed="false">
      <c r="A64" s="20" t="n">
        <v>95</v>
      </c>
      <c r="B64" s="21" t="s">
        <v>176</v>
      </c>
      <c r="C64" s="21"/>
      <c r="D64" s="39" t="n">
        <v>96</v>
      </c>
      <c r="E64" s="21" t="s">
        <v>177</v>
      </c>
      <c r="F64" s="40"/>
      <c r="G64" s="14"/>
      <c r="H64" s="101"/>
      <c r="I64" s="101"/>
      <c r="J64" s="101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8" hidden="false" customHeight="true" outlineLevel="0" collapsed="false">
      <c r="A65" s="27" t="n">
        <v>97</v>
      </c>
      <c r="B65" s="28" t="s">
        <v>178</v>
      </c>
      <c r="C65" s="60"/>
      <c r="D65" s="60"/>
      <c r="E65" s="60"/>
      <c r="F65" s="60"/>
      <c r="G65" s="14"/>
      <c r="H65" s="101"/>
      <c r="I65" s="101"/>
      <c r="J65" s="101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24" hidden="false" customHeight="true" outlineLevel="0" collapsed="false">
      <c r="A66" s="30" t="s">
        <v>179</v>
      </c>
      <c r="B66" s="30"/>
      <c r="C66" s="30"/>
      <c r="D66" s="30"/>
      <c r="E66" s="30"/>
      <c r="F66" s="30"/>
      <c r="G66" s="14"/>
      <c r="H66" s="101"/>
      <c r="I66" s="101"/>
      <c r="J66" s="101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2.75" hidden="false" customHeight="true" outlineLevel="0" collapsed="false">
      <c r="A67" s="17" t="n">
        <v>98</v>
      </c>
      <c r="B67" s="18" t="s">
        <v>180</v>
      </c>
      <c r="C67" s="18" t="s">
        <v>181</v>
      </c>
      <c r="D67" s="34" t="n">
        <v>99</v>
      </c>
      <c r="E67" s="18" t="s">
        <v>182</v>
      </c>
      <c r="F67" s="35" t="s">
        <v>181</v>
      </c>
      <c r="G67" s="14"/>
      <c r="H67" s="101"/>
      <c r="I67" s="101"/>
      <c r="J67" s="101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2.75" hidden="false" customHeight="true" outlineLevel="0" collapsed="false">
      <c r="A68" s="20" t="n">
        <v>100</v>
      </c>
      <c r="B68" s="21" t="s">
        <v>183</v>
      </c>
      <c r="C68" s="21" t="s">
        <v>181</v>
      </c>
      <c r="D68" s="39" t="n">
        <v>101</v>
      </c>
      <c r="E68" s="21" t="s">
        <v>184</v>
      </c>
      <c r="F68" s="40" t="s">
        <v>181</v>
      </c>
      <c r="G68" s="14"/>
      <c r="H68" s="101"/>
      <c r="I68" s="101"/>
      <c r="J68" s="101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2.75" hidden="false" customHeight="true" outlineLevel="0" collapsed="false">
      <c r="A69" s="20" t="n">
        <v>102</v>
      </c>
      <c r="B69" s="21" t="s">
        <v>185</v>
      </c>
      <c r="C69" s="102" t="s">
        <v>181</v>
      </c>
      <c r="D69" s="102"/>
      <c r="E69" s="102"/>
      <c r="F69" s="102"/>
      <c r="G69" s="14"/>
      <c r="H69" s="101"/>
      <c r="I69" s="101"/>
      <c r="J69" s="101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50.25" hidden="false" customHeight="true" outlineLevel="0" collapsed="false">
      <c r="A70" s="27" t="n">
        <v>103</v>
      </c>
      <c r="B70" s="28" t="s">
        <v>186</v>
      </c>
      <c r="C70" s="103" t="s">
        <v>181</v>
      </c>
      <c r="D70" s="103"/>
      <c r="E70" s="103"/>
      <c r="F70" s="103"/>
      <c r="G70" s="14"/>
      <c r="H70" s="101"/>
      <c r="I70" s="101"/>
      <c r="J70" s="101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24" hidden="false" customHeight="true" outlineLevel="0" collapsed="false">
      <c r="A71" s="30" t="s">
        <v>187</v>
      </c>
      <c r="B71" s="30"/>
      <c r="C71" s="30"/>
      <c r="D71" s="30"/>
      <c r="E71" s="30"/>
      <c r="F71" s="30"/>
      <c r="G71" s="14"/>
      <c r="H71" s="101"/>
      <c r="I71" s="101"/>
      <c r="J71" s="101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30" hidden="false" customHeight="true" outlineLevel="0" collapsed="false">
      <c r="A72" s="104" t="s">
        <v>188</v>
      </c>
      <c r="B72" s="104"/>
      <c r="C72" s="104"/>
      <c r="D72" s="104"/>
      <c r="E72" s="104"/>
      <c r="F72" s="104"/>
      <c r="G72" s="14"/>
      <c r="H72" s="101"/>
      <c r="I72" s="101"/>
      <c r="J72" s="101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90.5" hidden="false" customHeight="true" outlineLevel="0" collapsed="false">
      <c r="A73" s="20" t="n">
        <v>104</v>
      </c>
      <c r="B73" s="105" t="s">
        <v>189</v>
      </c>
      <c r="C73" s="102"/>
      <c r="D73" s="102"/>
      <c r="E73" s="102"/>
      <c r="F73" s="102"/>
      <c r="G73" s="14"/>
      <c r="H73" s="101"/>
      <c r="I73" s="101"/>
      <c r="J73" s="101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225" hidden="false" customHeight="true" outlineLevel="0" collapsed="false">
      <c r="A74" s="27" t="n">
        <v>105</v>
      </c>
      <c r="B74" s="106" t="s">
        <v>190</v>
      </c>
      <c r="C74" s="77"/>
      <c r="D74" s="77"/>
      <c r="E74" s="77"/>
      <c r="F74" s="77"/>
      <c r="G74" s="14"/>
      <c r="H74" s="101"/>
      <c r="I74" s="101"/>
      <c r="J74" s="101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8" hidden="false" customHeight="true" outlineLevel="0" collapsed="false">
      <c r="A75" s="5" t="n">
        <v>106</v>
      </c>
      <c r="B75" s="6" t="s">
        <v>191</v>
      </c>
      <c r="C75" s="107" t="str">
        <f aca="false">CONCATENATE(H75, ", ", TEXT(DAY(J75), "00"), " de ", O14, " de ", TEXT(YEAR(J75), "0000"), ".")</f>
        <v>, 30 de Diciembre de 1899.</v>
      </c>
      <c r="D75" s="107"/>
      <c r="E75" s="107"/>
      <c r="F75" s="107"/>
      <c r="G75" s="108" t="s">
        <v>192</v>
      </c>
      <c r="H75" s="109"/>
      <c r="I75" s="110" t="s">
        <v>193</v>
      </c>
      <c r="J75" s="111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true" outlineLevel="0" collapsed="false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customFormat="false" ht="12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2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2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2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2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2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2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2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2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2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2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2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2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2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2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2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2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2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2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2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2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2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2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2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2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2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2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2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2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2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2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2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2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2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2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2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2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2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2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2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2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2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2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2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2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2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2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2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2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2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2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2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2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2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2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2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2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2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2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2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2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2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2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2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2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2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2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2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2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2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2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2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2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2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2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2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2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2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2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2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2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2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2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2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2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2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2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2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2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2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2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2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2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2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2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2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2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2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2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2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2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2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2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2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2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2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2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2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2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2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2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2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2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2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2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2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2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2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2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2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2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2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2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2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2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2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2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2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2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2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2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2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2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2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2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2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2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2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2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2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2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2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2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2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2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2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2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2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2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2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2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2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2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2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2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2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2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2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2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2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2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2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2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2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2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2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2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2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2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2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2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2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2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2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2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2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2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2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2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2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2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2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2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2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2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2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2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2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2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2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2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2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2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2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2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2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2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2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2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2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2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2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2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2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2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2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2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2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2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2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2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2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2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2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2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2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2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2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2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2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2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2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2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2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2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2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2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2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2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2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2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2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2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2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2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2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2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2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2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2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2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2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2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2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2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2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2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2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2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2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2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2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2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2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2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2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2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2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2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2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2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2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2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2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2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2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2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2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2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2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2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2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2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2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2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2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2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2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2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2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2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2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2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2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2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2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2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2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2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2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2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2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2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2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2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2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2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2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2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2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2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2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2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2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2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2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2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2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2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2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2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2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2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2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2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2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2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2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2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2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2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2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2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2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2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2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2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2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2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2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2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2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2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2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2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2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2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2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2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2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2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2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2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2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2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2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2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2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2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2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2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2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2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2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2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2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2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2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2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2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2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2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2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2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2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2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2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2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2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2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2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2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2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2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2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2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2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2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2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2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2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2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2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2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2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2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2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2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2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2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2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2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2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2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2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2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2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2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2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2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2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2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2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2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2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2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2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2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2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2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2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2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2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2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2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2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2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2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2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2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2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2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2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2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2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2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2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2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2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2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2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2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2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2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2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2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2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2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2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2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2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2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2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2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2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2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2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2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2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2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2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2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2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2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2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2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2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2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2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2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2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2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2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2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2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2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2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2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2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2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2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2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2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2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2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2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2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2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2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2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2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2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2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2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2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2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2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2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2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2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2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2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2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2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2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2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2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2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2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2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2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2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2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2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2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2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2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2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2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2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2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2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2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2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2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2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2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2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2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2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2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2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2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2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2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2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2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2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2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2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2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2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2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2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2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2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2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2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2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2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2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2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2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2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2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2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2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2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2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2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2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2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2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2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2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2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2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2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2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2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2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2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2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2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2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2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2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2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2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2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2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2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2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2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2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2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2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2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2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2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2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2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2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2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2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2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2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2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2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2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2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2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2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2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2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2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2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2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2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2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2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2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2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2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2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2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2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2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2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2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2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2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2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2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2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2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2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2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2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2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2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2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2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2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2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2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2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2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2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2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2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2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2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2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2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2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2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2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2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2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2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2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2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2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2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2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2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2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2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2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2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2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2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2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2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2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2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2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2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2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2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2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2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2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2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2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2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2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2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2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2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2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2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2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2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2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2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2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2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2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2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2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2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2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2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2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2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2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2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2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2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2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2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2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2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2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2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2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2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2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2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2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2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2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2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2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2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2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2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2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2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2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2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2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2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2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2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2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2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2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2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2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2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2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2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2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2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2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2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2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2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2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2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2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2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2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2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2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2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2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2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2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2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2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2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2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2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2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2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2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2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2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2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2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2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2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2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2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2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2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2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2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2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2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2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2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2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2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2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2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2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2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2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2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2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2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2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2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2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2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2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2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2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2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2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2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2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2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2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2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2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2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2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2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2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2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2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2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2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2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2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2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2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2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2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2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2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2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2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2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2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2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2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2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2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2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2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2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2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2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2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2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2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2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2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2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2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2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2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2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2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2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2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2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2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2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2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2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2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2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2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2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2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2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2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2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2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2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2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2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2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2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2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2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2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2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2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2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2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2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2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2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2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2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2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2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2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2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2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2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2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2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2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2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2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2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2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2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2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2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2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2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2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2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2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2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2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2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2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2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2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2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2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2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2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2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2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2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2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2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2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2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2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2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2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2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2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2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2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2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2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2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2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2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2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2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2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2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2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2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2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2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2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2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1">
    <mergeCell ref="A1:F1"/>
    <mergeCell ref="G1:J2"/>
    <mergeCell ref="D2:E2"/>
    <mergeCell ref="A3:F3"/>
    <mergeCell ref="G3:G74"/>
    <mergeCell ref="H3:J5"/>
    <mergeCell ref="B4:C4"/>
    <mergeCell ref="D4:F4"/>
    <mergeCell ref="B5:C5"/>
    <mergeCell ref="D5:F5"/>
    <mergeCell ref="B6:C6"/>
    <mergeCell ref="D6:F6"/>
    <mergeCell ref="I6:J6"/>
    <mergeCell ref="B7:C7"/>
    <mergeCell ref="D7:F7"/>
    <mergeCell ref="H7:J8"/>
    <mergeCell ref="B8:C8"/>
    <mergeCell ref="D8:F8"/>
    <mergeCell ref="A9:F9"/>
    <mergeCell ref="H18:J20"/>
    <mergeCell ref="C20:F20"/>
    <mergeCell ref="A21:F21"/>
    <mergeCell ref="I21:I22"/>
    <mergeCell ref="H29:J35"/>
    <mergeCell ref="D31:F31"/>
    <mergeCell ref="A32:F32"/>
    <mergeCell ref="C33:F33"/>
    <mergeCell ref="C34:F34"/>
    <mergeCell ref="H36:J36"/>
    <mergeCell ref="C37:F37"/>
    <mergeCell ref="H37:J41"/>
    <mergeCell ref="C38:F38"/>
    <mergeCell ref="H42:I42"/>
    <mergeCell ref="J42:J44"/>
    <mergeCell ref="A43:F43"/>
    <mergeCell ref="A49:F49"/>
    <mergeCell ref="H53:J74"/>
    <mergeCell ref="C54:F54"/>
    <mergeCell ref="A55:F55"/>
    <mergeCell ref="A58:F58"/>
    <mergeCell ref="C59:F59"/>
    <mergeCell ref="C65:F65"/>
    <mergeCell ref="A66:F66"/>
    <mergeCell ref="C69:F69"/>
    <mergeCell ref="C70:F70"/>
    <mergeCell ref="A71:F71"/>
    <mergeCell ref="A72:F72"/>
    <mergeCell ref="C73:F73"/>
    <mergeCell ref="C74:F74"/>
    <mergeCell ref="C75:F75"/>
    <mergeCell ref="A76:J76"/>
  </mergeCells>
  <dataValidations count="6">
    <dataValidation allowBlank="true" errorStyle="stop" operator="equal" prompt="Combustible Inválido - Ingrese uno de los valores de la Tabla V: Tipos de Combustible o Fuente de Energía de la Estandarización de Características Registrables Vehiculares." showDropDown="false" showErrorMessage="true" showInputMessage="true" sqref="F15" type="list">
      <formula1>$L$3:$L$24</formula1>
      <formula2>0</formula2>
    </dataValidation>
    <dataValidation allowBlank="true" errorStyle="stop" operator="equal" prompt="Dato Inválido - Seleccione una de las posibles ubicaciones de la lista desplegable." showDropDown="false" showErrorMessage="true" showInputMessage="true" sqref="C44" type="list">
      <formula1>"NO CORRESPONDE,DELANTERO,CENTRAL,POSTERIOR"</formula1>
      <formula2>0</formula2>
    </dataValidation>
    <dataValidation allowBlank="true" errorStyle="stop" operator="equal" prompt="Valor Inválido - Seleccione una posible posición de la lista desplegable." showDropDown="false" showErrorMessage="true" showInputMessage="true" sqref="F44" type="list">
      <formula1>"NO CORRESPONDE,TRANSVERSAL,LONGITUDINAL"</formula1>
      <formula2>0</formula2>
    </dataValidation>
    <dataValidation allowBlank="true" errorStyle="stop" operator="equal" prompt="Valor Inválido - Selecciona una configuración posible de la lista desplegable." showDropDown="false" showErrorMessage="true" showInputMessage="true" sqref="F45" type="list">
      <formula1>"NO CORRESPONDE,EN LÍNEA,EN V,EN V 90º,OPUESTOS HORIZONTALMENTE"</formula1>
      <formula2>0</formula2>
    </dataValidation>
    <dataValidation allowBlank="true" errorStyle="stop" operator="equal" prompt="Valor Inválido - Seleccione un valor de la lista despegable que corresponda a la Tabla IV del a estandarización vehicular." showDropDown="false" showErrorMessage="true" showInputMessage="true" sqref="F56" type="list">
      <formula1>$M$3:$M$8</formula1>
      <formula2>0</formula2>
    </dataValidation>
    <dataValidation allowBlank="true" errorStyle="stop" operator="equal" prompt="Selección - Debe seleccionar uno de los valores definidos para esta celda." showDropDown="false" showErrorMessage="true" showInputMessage="true" sqref="H75" type="list">
      <formula1>"Lima,Callao,Paita,Piura,Tumbes,Salaverry,Trujillo,Pisco,Moquegua,Matarini,Ilo,Mollendo,Tacna,Puerto Maldonado,Iñapari,Pucallpa,Iquitos,Puno"</formula1>
      <formula2>0</formula2>
    </dataValidation>
  </dataValidations>
  <printOptions headings="false" gridLines="false" gridLinesSet="true" horizontalCentered="true" verticalCentered="true"/>
  <pageMargins left="0.511805555555556" right="0.196527777777778" top="1.18125" bottom="0.39375" header="0" footer="0"/>
  <pageSetup paperSize="9" scale="75" fitToWidth="1" fitToHeight="1" pageOrder="downThenOver" orientation="portrait" blackAndWhite="false" draft="false" cellComments="none" horizontalDpi="300" verticalDpi="300" copies="1"/>
  <headerFooter differentFirst="false" differentOddEven="false">
    <oddHeader>&amp;LCIP 73933&amp;CIng. Emilio David Vidal Domínguez&amp;R&amp;P de</oddHeader>
    <oddFooter>&amp;L Confidencial&amp;C&amp;F&amp;RPágina &amp;P</oddFooter>
  </headerFooter>
  <rowBreaks count="1" manualBreakCount="1">
    <brk id="48" man="true" max="16383" min="0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4" name="No Corresponde">
              <controlPr defaultSize="0" locked="1" autoFill="0" autoLine="0" autoPict="0" print="true" altText="Casilla 1">
                <anchor moveWithCells="true" sizeWithCells="false">
                  <from>
                    <xdr:col>8</xdr:col>
                    <xdr:colOff>725400</xdr:colOff>
                    <xdr:row>8</xdr:row>
                    <xdr:rowOff>20880</xdr:rowOff>
                  </from>
                  <to>
                    <xdr:col>10</xdr:col>
                    <xdr:colOff>23760</xdr:colOff>
                    <xdr:row>9</xdr:row>
                    <xdr:rowOff>-17640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5" name="No Corresponde">
              <controlPr defaultSize="0" locked="1" autoFill="0" autoLine="0" autoPict="0" print="true" altText="Casilla 2">
                <anchor moveWithCells="true" sizeWithCells="false">
                  <from>
                    <xdr:col>7</xdr:col>
                    <xdr:colOff>783360</xdr:colOff>
                    <xdr:row>27</xdr:row>
                    <xdr:rowOff>43920</xdr:rowOff>
                  </from>
                  <to>
                    <xdr:col>9</xdr:col>
                    <xdr:colOff>63720</xdr:colOff>
                    <xdr:row>28</xdr:row>
                    <xdr:rowOff>-175320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6" name="No Corresponde">
              <controlPr defaultSize="0" locked="1" autoFill="0" autoLine="0" autoPict="0" print="true" altText="Casilla 3">
                <anchor moveWithCells="true" sizeWithCells="false">
                  <from>
                    <xdr:col>8</xdr:col>
                    <xdr:colOff>811080</xdr:colOff>
                    <xdr:row>47</xdr:row>
                    <xdr:rowOff>19440</xdr:rowOff>
                  </from>
                  <to>
                    <xdr:col>15</xdr:col>
                    <xdr:colOff>138240</xdr:colOff>
                    <xdr:row>48</xdr:row>
                    <xdr:rowOff>57240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75" workbookViewId="0">
      <selection pane="topLeft" activeCell="C12" activeCellId="0" sqref="C12"/>
    </sheetView>
  </sheetViews>
  <sheetFormatPr defaultColWidth="12.71484375" defaultRowHeight="15" customHeight="true" zeroHeight="false" outlineLevelRow="0" outlineLevelCol="0"/>
  <cols>
    <col collapsed="false" customWidth="true" hidden="false" outlineLevel="0" max="1" min="1" style="0" width="3.78"/>
    <col collapsed="false" customWidth="true" hidden="false" outlineLevel="0" max="2" min="2" style="0" width="25.3"/>
    <col collapsed="false" customWidth="true" hidden="false" outlineLevel="0" max="3" min="3" style="0" width="27.06"/>
    <col collapsed="false" customWidth="true" hidden="false" outlineLevel="0" max="4" min="4" style="0" width="3.78"/>
    <col collapsed="false" customWidth="true" hidden="false" outlineLevel="0" max="5" min="5" style="0" width="25.3"/>
    <col collapsed="false" customWidth="true" hidden="false" outlineLevel="0" max="6" min="6" style="0" width="27.06"/>
    <col collapsed="false" customWidth="true" hidden="false" outlineLevel="0" max="8" min="7" style="0" width="10.07"/>
    <col collapsed="false" customWidth="true" hidden="false" outlineLevel="0" max="9" min="9" style="0" width="10.83"/>
    <col collapsed="false" customWidth="true" hidden="false" outlineLevel="0" max="10" min="10" style="0" width="10.07"/>
    <col collapsed="false" customWidth="true" hidden="false" outlineLevel="0" max="11" min="11" style="0" width="1.13"/>
    <col collapsed="false" customWidth="true" hidden="true" outlineLevel="0" max="12" min="12" style="0" width="4.4"/>
    <col collapsed="false" customWidth="true" hidden="true" outlineLevel="0" max="13" min="13" style="0" width="28.57"/>
    <col collapsed="false" customWidth="true" hidden="true" outlineLevel="0" max="14" min="14" style="0" width="1.13"/>
    <col collapsed="false" customWidth="true" hidden="true" outlineLevel="0" max="15" min="15" style="0" width="9.19"/>
    <col collapsed="false" customWidth="true" hidden="false" outlineLevel="0" max="26" min="16" style="0" width="9.44"/>
  </cols>
  <sheetData>
    <row r="1" customFormat="false" ht="26.25" hidden="false" customHeight="true" outlineLevel="0" collapsed="false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3"/>
      <c r="L1" s="3"/>
      <c r="M1" s="3"/>
      <c r="N1" s="3"/>
      <c r="O1" s="4" t="s">
        <v>1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9.5" hidden="false" customHeight="true" outlineLevel="0" collapsed="false">
      <c r="A2" s="5" t="n">
        <v>1</v>
      </c>
      <c r="B2" s="6" t="s">
        <v>2</v>
      </c>
      <c r="C2" s="7"/>
      <c r="D2" s="8" t="s">
        <v>3</v>
      </c>
      <c r="E2" s="8"/>
      <c r="F2" s="9" t="str">
        <f aca="false">"R" &amp; D5 &amp; "V" &amp; RIGHT(C13,6)</f>
        <v>RV001006</v>
      </c>
      <c r="G2" s="2"/>
      <c r="H2" s="2"/>
      <c r="I2" s="2"/>
      <c r="J2" s="2"/>
      <c r="K2" s="3"/>
      <c r="L2" s="10" t="s">
        <v>4</v>
      </c>
      <c r="M2" s="11" t="s">
        <v>5</v>
      </c>
      <c r="N2" s="3"/>
      <c r="O2" s="12" t="s">
        <v>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24" hidden="false" customHeight="true" outlineLevel="0" collapsed="false">
      <c r="A3" s="13" t="s">
        <v>7</v>
      </c>
      <c r="B3" s="13"/>
      <c r="C3" s="13"/>
      <c r="D3" s="13"/>
      <c r="E3" s="13"/>
      <c r="F3" s="13"/>
      <c r="G3" s="14"/>
      <c r="H3" s="15"/>
      <c r="I3" s="15"/>
      <c r="J3" s="15"/>
      <c r="K3" s="3"/>
      <c r="L3" s="16" t="s">
        <v>8</v>
      </c>
      <c r="M3" s="16" t="s">
        <v>8</v>
      </c>
      <c r="N3" s="3"/>
      <c r="O3" s="12" t="s">
        <v>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9.5" hidden="false" customHeight="true" outlineLevel="0" collapsed="false">
      <c r="A4" s="17" t="n">
        <v>2</v>
      </c>
      <c r="B4" s="18" t="s">
        <v>10</v>
      </c>
      <c r="C4" s="18"/>
      <c r="D4" s="19"/>
      <c r="E4" s="19"/>
      <c r="F4" s="19"/>
      <c r="G4" s="14"/>
      <c r="H4" s="15"/>
      <c r="I4" s="15"/>
      <c r="J4" s="15"/>
      <c r="K4" s="3"/>
      <c r="L4" s="16" t="s">
        <v>11</v>
      </c>
      <c r="M4" s="16" t="s">
        <v>12</v>
      </c>
      <c r="N4" s="3"/>
      <c r="O4" s="12" t="s">
        <v>13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9.5" hidden="false" customHeight="true" outlineLevel="0" collapsed="false">
      <c r="A5" s="20" t="n">
        <v>3</v>
      </c>
      <c r="B5" s="21" t="s">
        <v>14</v>
      </c>
      <c r="C5" s="21"/>
      <c r="D5" s="22"/>
      <c r="E5" s="22"/>
      <c r="F5" s="22"/>
      <c r="G5" s="14"/>
      <c r="H5" s="15"/>
      <c r="I5" s="15"/>
      <c r="J5" s="15"/>
      <c r="K5" s="3"/>
      <c r="L5" s="16" t="s">
        <v>15</v>
      </c>
      <c r="M5" s="16" t="s">
        <v>16</v>
      </c>
      <c r="N5" s="3"/>
      <c r="O5" s="12" t="s">
        <v>17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9.5" hidden="false" customHeight="true" outlineLevel="0" collapsed="false">
      <c r="A6" s="20" t="n">
        <v>4</v>
      </c>
      <c r="B6" s="21" t="s">
        <v>18</v>
      </c>
      <c r="C6" s="21"/>
      <c r="D6" s="22"/>
      <c r="E6" s="22"/>
      <c r="F6" s="22"/>
      <c r="G6" s="14"/>
      <c r="H6" s="23" t="s">
        <v>19</v>
      </c>
      <c r="I6" s="24"/>
      <c r="J6" s="24"/>
      <c r="K6" s="3"/>
      <c r="L6" s="16" t="s">
        <v>20</v>
      </c>
      <c r="M6" s="16" t="s">
        <v>21</v>
      </c>
      <c r="N6" s="3"/>
      <c r="O6" s="12" t="s">
        <v>22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9.5" hidden="false" customHeight="true" outlineLevel="0" collapsed="false">
      <c r="A7" s="20" t="n">
        <v>5</v>
      </c>
      <c r="B7" s="21" t="s">
        <v>23</v>
      </c>
      <c r="C7" s="21"/>
      <c r="D7" s="22"/>
      <c r="E7" s="22"/>
      <c r="F7" s="22"/>
      <c r="G7" s="14"/>
      <c r="H7" s="25" t="s">
        <v>24</v>
      </c>
      <c r="I7" s="25"/>
      <c r="J7" s="25"/>
      <c r="K7" s="3"/>
      <c r="L7" s="16" t="s">
        <v>25</v>
      </c>
      <c r="M7" s="26" t="s">
        <v>26</v>
      </c>
      <c r="N7" s="3"/>
      <c r="O7" s="12" t="s">
        <v>27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9.5" hidden="false" customHeight="true" outlineLevel="0" collapsed="false">
      <c r="A8" s="27" t="n">
        <v>6</v>
      </c>
      <c r="B8" s="28" t="s">
        <v>28</v>
      </c>
      <c r="C8" s="28"/>
      <c r="D8" s="29"/>
      <c r="E8" s="29"/>
      <c r="F8" s="29"/>
      <c r="G8" s="14"/>
      <c r="H8" s="25"/>
      <c r="I8" s="25"/>
      <c r="J8" s="25"/>
      <c r="K8" s="3"/>
      <c r="L8" s="16" t="s">
        <v>29</v>
      </c>
      <c r="M8" s="26" t="s">
        <v>30</v>
      </c>
      <c r="N8" s="3"/>
      <c r="O8" s="12" t="s">
        <v>31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24" hidden="false" customHeight="true" outlineLevel="0" collapsed="false">
      <c r="A9" s="30" t="s">
        <v>32</v>
      </c>
      <c r="B9" s="30"/>
      <c r="C9" s="30"/>
      <c r="D9" s="30"/>
      <c r="E9" s="30"/>
      <c r="F9" s="30"/>
      <c r="G9" s="14"/>
      <c r="H9" s="31" t="s">
        <v>33</v>
      </c>
      <c r="I9" s="32"/>
      <c r="J9" s="33" t="b">
        <v>0</v>
      </c>
      <c r="K9" s="3"/>
      <c r="L9" s="16" t="s">
        <v>34</v>
      </c>
      <c r="M9" s="3"/>
      <c r="N9" s="3"/>
      <c r="O9" s="12" t="s">
        <v>35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8" hidden="false" customHeight="true" outlineLevel="0" collapsed="false">
      <c r="A10" s="17" t="n">
        <v>7</v>
      </c>
      <c r="B10" s="18" t="s">
        <v>36</v>
      </c>
      <c r="C10" s="18"/>
      <c r="D10" s="34" t="n">
        <v>8</v>
      </c>
      <c r="E10" s="18" t="s">
        <v>37</v>
      </c>
      <c r="F10" s="35"/>
      <c r="G10" s="14"/>
      <c r="H10" s="36" t="s">
        <v>38</v>
      </c>
      <c r="I10" s="37" t="n">
        <f aca="false">IF(J9,"NO CORRESPONDE",ROUND(I11,J11))</f>
        <v>0</v>
      </c>
      <c r="J10" s="38" t="s">
        <v>39</v>
      </c>
      <c r="K10" s="3"/>
      <c r="L10" s="16" t="s">
        <v>40</v>
      </c>
      <c r="M10" s="3"/>
      <c r="N10" s="3"/>
      <c r="O10" s="12" t="s">
        <v>41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8" hidden="false" customHeight="true" outlineLevel="0" collapsed="false">
      <c r="A11" s="20" t="n">
        <v>9</v>
      </c>
      <c r="B11" s="21" t="s">
        <v>42</v>
      </c>
      <c r="C11" s="21"/>
      <c r="D11" s="39" t="n">
        <v>10</v>
      </c>
      <c r="E11" s="21" t="s">
        <v>43</v>
      </c>
      <c r="F11" s="40"/>
      <c r="G11" s="14"/>
      <c r="H11" s="41" t="s">
        <v>44</v>
      </c>
      <c r="I11" s="42" t="n">
        <f aca="false">SUM(I12*J12,I13*J13,I14*J14,I15*J17)</f>
        <v>0</v>
      </c>
      <c r="J11" s="38" t="n">
        <v>0</v>
      </c>
      <c r="K11" s="3"/>
      <c r="L11" s="16" t="s">
        <v>45</v>
      </c>
      <c r="M11" s="3"/>
      <c r="N11" s="3"/>
      <c r="O11" s="12" t="s">
        <v>46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8" hidden="false" customHeight="true" outlineLevel="0" collapsed="false">
      <c r="A12" s="20" t="n">
        <v>11</v>
      </c>
      <c r="B12" s="21" t="s">
        <v>47</v>
      </c>
      <c r="C12" s="43" t="s">
        <v>198</v>
      </c>
      <c r="D12" s="39" t="n">
        <v>12</v>
      </c>
      <c r="E12" s="21" t="s">
        <v>49</v>
      </c>
      <c r="F12" s="40"/>
      <c r="G12" s="14"/>
      <c r="H12" s="44" t="s">
        <v>50</v>
      </c>
      <c r="I12" s="45"/>
      <c r="J12" s="38" t="n">
        <v>1</v>
      </c>
      <c r="K12" s="3"/>
      <c r="L12" s="16" t="s">
        <v>51</v>
      </c>
      <c r="M12" s="3"/>
      <c r="N12" s="3"/>
      <c r="O12" s="12" t="s">
        <v>52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8" hidden="false" customHeight="true" outlineLevel="0" collapsed="false">
      <c r="A13" s="20" t="n">
        <v>13</v>
      </c>
      <c r="B13" s="21" t="s">
        <v>53</v>
      </c>
      <c r="C13" s="46" t="str">
        <f aca="false">IF(ISBLANK(I6), C12, I6)</f>
        <v>BBCDE1234WX001006</v>
      </c>
      <c r="D13" s="39" t="n">
        <v>14</v>
      </c>
      <c r="E13" s="21" t="s">
        <v>54</v>
      </c>
      <c r="F13" s="35"/>
      <c r="G13" s="14"/>
      <c r="H13" s="47" t="s">
        <v>55</v>
      </c>
      <c r="I13" s="48"/>
      <c r="J13" s="38" t="n">
        <v>1.609344</v>
      </c>
      <c r="K13" s="3"/>
      <c r="L13" s="16" t="s">
        <v>56</v>
      </c>
      <c r="M13" s="3"/>
      <c r="N13" s="3"/>
      <c r="O13" s="49" t="s">
        <v>57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8" hidden="false" customHeight="true" outlineLevel="0" collapsed="false">
      <c r="A14" s="20" t="n">
        <v>15</v>
      </c>
      <c r="B14" s="21" t="s">
        <v>58</v>
      </c>
      <c r="C14" s="21"/>
      <c r="D14" s="39" t="n">
        <v>16</v>
      </c>
      <c r="E14" s="21" t="s">
        <v>59</v>
      </c>
      <c r="F14" s="40"/>
      <c r="G14" s="14"/>
      <c r="H14" s="41" t="s">
        <v>60</v>
      </c>
      <c r="I14" s="50"/>
      <c r="J14" s="38" t="n">
        <v>1.853184</v>
      </c>
      <c r="K14" s="3"/>
      <c r="L14" s="16" t="s">
        <v>61</v>
      </c>
      <c r="M14" s="3"/>
      <c r="N14" s="3"/>
      <c r="O14" s="3" t="str">
        <f aca="false">CHOOSE(MONTH(J75),O2,O3,O4,O5,O6,O7,O8,O9,O10,O11,O12,O13)</f>
        <v>Diciembre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8" hidden="false" customHeight="true" outlineLevel="0" collapsed="false">
      <c r="A15" s="20" t="n">
        <v>17</v>
      </c>
      <c r="B15" s="21" t="s">
        <v>62</v>
      </c>
      <c r="C15" s="51"/>
      <c r="D15" s="39" t="n">
        <v>18</v>
      </c>
      <c r="E15" s="21" t="s">
        <v>63</v>
      </c>
      <c r="F15" s="40"/>
      <c r="G15" s="14"/>
      <c r="H15" s="41" t="s">
        <v>44</v>
      </c>
      <c r="I15" s="52" t="n">
        <f aca="false">SUM(I17/60,H17)</f>
        <v>0</v>
      </c>
      <c r="J15" s="38" t="s">
        <v>64</v>
      </c>
      <c r="K15" s="3"/>
      <c r="L15" s="16" t="s">
        <v>65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8" hidden="false" customHeight="true" outlineLevel="0" collapsed="false">
      <c r="A16" s="20" t="n">
        <v>19</v>
      </c>
      <c r="B16" s="21" t="s">
        <v>66</v>
      </c>
      <c r="C16" s="21"/>
      <c r="D16" s="39" t="n">
        <v>20</v>
      </c>
      <c r="E16" s="21" t="s">
        <v>67</v>
      </c>
      <c r="F16" s="40"/>
      <c r="G16" s="14"/>
      <c r="H16" s="41" t="s">
        <v>68</v>
      </c>
      <c r="I16" s="53" t="s">
        <v>69</v>
      </c>
      <c r="J16" s="54" t="s">
        <v>70</v>
      </c>
      <c r="K16" s="3"/>
      <c r="L16" s="16" t="s">
        <v>71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8" hidden="false" customHeight="true" outlineLevel="0" collapsed="false">
      <c r="A17" s="20" t="n">
        <v>21</v>
      </c>
      <c r="B17" s="21" t="s">
        <v>72</v>
      </c>
      <c r="C17" s="21"/>
      <c r="D17" s="39" t="n">
        <v>22</v>
      </c>
      <c r="E17" s="21" t="s">
        <v>73</v>
      </c>
      <c r="F17" s="40"/>
      <c r="G17" s="14"/>
      <c r="H17" s="55" t="n">
        <v>0</v>
      </c>
      <c r="I17" s="56" t="n">
        <v>0</v>
      </c>
      <c r="J17" s="57" t="n">
        <v>0</v>
      </c>
      <c r="K17" s="3"/>
      <c r="L17" s="16" t="s">
        <v>74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8" hidden="false" customHeight="true" outlineLevel="0" collapsed="false">
      <c r="A18" s="20" t="n">
        <v>23</v>
      </c>
      <c r="B18" s="21" t="s">
        <v>75</v>
      </c>
      <c r="C18" s="21"/>
      <c r="D18" s="39" t="n">
        <v>24</v>
      </c>
      <c r="E18" s="21" t="s">
        <v>76</v>
      </c>
      <c r="F18" s="40"/>
      <c r="G18" s="14"/>
      <c r="H18" s="58"/>
      <c r="I18" s="58"/>
      <c r="J18" s="58"/>
      <c r="K18" s="3"/>
      <c r="L18" s="16" t="s">
        <v>77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8" hidden="false" customHeight="true" outlineLevel="0" collapsed="false">
      <c r="A19" s="20" t="n">
        <v>25</v>
      </c>
      <c r="B19" s="21" t="s">
        <v>33</v>
      </c>
      <c r="C19" s="21" t="n">
        <f aca="false">I10</f>
        <v>0</v>
      </c>
      <c r="D19" s="39" t="n">
        <v>26</v>
      </c>
      <c r="E19" s="21" t="s">
        <v>78</v>
      </c>
      <c r="F19" s="59"/>
      <c r="G19" s="14"/>
      <c r="H19" s="58"/>
      <c r="I19" s="58"/>
      <c r="J19" s="58"/>
      <c r="K19" s="3"/>
      <c r="L19" s="16" t="s">
        <v>79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8" hidden="false" customHeight="true" outlineLevel="0" collapsed="false">
      <c r="A20" s="27" t="n">
        <v>27</v>
      </c>
      <c r="B20" s="28" t="s">
        <v>80</v>
      </c>
      <c r="C20" s="60"/>
      <c r="D20" s="60"/>
      <c r="E20" s="60"/>
      <c r="F20" s="60"/>
      <c r="G20" s="14"/>
      <c r="H20" s="58"/>
      <c r="I20" s="58"/>
      <c r="J20" s="58"/>
      <c r="K20" s="3"/>
      <c r="L20" s="16" t="s">
        <v>81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24" hidden="false" customHeight="true" outlineLevel="0" collapsed="false">
      <c r="A21" s="30" t="s">
        <v>82</v>
      </c>
      <c r="B21" s="30"/>
      <c r="C21" s="30"/>
      <c r="D21" s="30"/>
      <c r="E21" s="30"/>
      <c r="F21" s="30"/>
      <c r="G21" s="14"/>
      <c r="H21" s="61" t="s">
        <v>83</v>
      </c>
      <c r="I21" s="62" t="s">
        <v>84</v>
      </c>
      <c r="J21" s="63"/>
      <c r="K21" s="3"/>
      <c r="L21" s="16" t="s">
        <v>85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8" hidden="false" customHeight="true" outlineLevel="0" collapsed="false">
      <c r="A22" s="17" t="n">
        <v>28</v>
      </c>
      <c r="B22" s="18" t="s">
        <v>86</v>
      </c>
      <c r="C22" s="64"/>
      <c r="D22" s="34" t="n">
        <v>29</v>
      </c>
      <c r="E22" s="18" t="s">
        <v>87</v>
      </c>
      <c r="F22" s="65"/>
      <c r="G22" s="14"/>
      <c r="H22" s="66"/>
      <c r="I22" s="62"/>
      <c r="J22" s="67"/>
      <c r="K22" s="3"/>
      <c r="L22" s="16" t="s">
        <v>88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8" hidden="false" customHeight="true" outlineLevel="0" collapsed="false">
      <c r="A23" s="20" t="n">
        <v>30</v>
      </c>
      <c r="B23" s="21" t="s">
        <v>89</v>
      </c>
      <c r="C23" s="68"/>
      <c r="D23" s="39" t="n">
        <v>31</v>
      </c>
      <c r="E23" s="21" t="s">
        <v>90</v>
      </c>
      <c r="F23" s="69"/>
      <c r="G23" s="14"/>
      <c r="H23" s="70"/>
      <c r="I23" s="71" t="s">
        <v>91</v>
      </c>
      <c r="J23" s="67"/>
      <c r="K23" s="3"/>
      <c r="L23" s="16" t="s">
        <v>92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8" hidden="false" customHeight="true" outlineLevel="0" collapsed="false">
      <c r="A24" s="20" t="n">
        <v>32</v>
      </c>
      <c r="B24" s="21" t="s">
        <v>93</v>
      </c>
      <c r="C24" s="68"/>
      <c r="D24" s="39" t="n">
        <v>33</v>
      </c>
      <c r="E24" s="21" t="s">
        <v>94</v>
      </c>
      <c r="F24" s="69"/>
      <c r="G24" s="14"/>
      <c r="H24" s="72" t="s">
        <v>44</v>
      </c>
      <c r="I24" s="73" t="n">
        <f aca="false">ROUND(IF(ISBLANK(I25), IF(ISBLANK(I26), IF(ISBLANK(I27), 0, I27*J27), I26*J26), I25),0)</f>
        <v>0</v>
      </c>
      <c r="J24" s="67"/>
      <c r="K24" s="3"/>
      <c r="L24" s="26" t="s">
        <v>95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8" hidden="false" customHeight="true" outlineLevel="0" collapsed="false">
      <c r="A25" s="20" t="n">
        <v>34</v>
      </c>
      <c r="B25" s="21" t="s">
        <v>96</v>
      </c>
      <c r="C25" s="68"/>
      <c r="D25" s="39" t="n">
        <v>35</v>
      </c>
      <c r="E25" s="21" t="s">
        <v>97</v>
      </c>
      <c r="F25" s="69"/>
      <c r="G25" s="14"/>
      <c r="H25" s="72" t="s">
        <v>98</v>
      </c>
      <c r="I25" s="45"/>
      <c r="J25" s="67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8" hidden="false" customHeight="true" outlineLevel="0" collapsed="false">
      <c r="A26" s="20" t="n">
        <v>36</v>
      </c>
      <c r="B26" s="21" t="s">
        <v>99</v>
      </c>
      <c r="C26" s="21"/>
      <c r="D26" s="39" t="n">
        <v>37</v>
      </c>
      <c r="E26" s="21" t="s">
        <v>100</v>
      </c>
      <c r="F26" s="40"/>
      <c r="G26" s="14"/>
      <c r="H26" s="72" t="s">
        <v>101</v>
      </c>
      <c r="I26" s="48"/>
      <c r="J26" s="38" t="n">
        <v>0.7456999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8" hidden="false" customHeight="true" outlineLevel="0" collapsed="false">
      <c r="A27" s="20" t="n">
        <v>38</v>
      </c>
      <c r="B27" s="21" t="s">
        <v>102</v>
      </c>
      <c r="C27" s="21"/>
      <c r="D27" s="39" t="n">
        <v>39</v>
      </c>
      <c r="E27" s="21" t="s">
        <v>103</v>
      </c>
      <c r="F27" s="40"/>
      <c r="G27" s="14"/>
      <c r="H27" s="72" t="s">
        <v>104</v>
      </c>
      <c r="I27" s="50"/>
      <c r="J27" s="38" t="n">
        <v>0.735498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36" hidden="false" customHeight="true" outlineLevel="0" collapsed="false">
      <c r="A28" s="20" t="n">
        <v>40</v>
      </c>
      <c r="B28" s="21" t="s">
        <v>105</v>
      </c>
      <c r="C28" s="21"/>
      <c r="D28" s="39" t="n">
        <v>41</v>
      </c>
      <c r="E28" s="21" t="s">
        <v>106</v>
      </c>
      <c r="F28" s="40"/>
      <c r="G28" s="14"/>
      <c r="H28" s="72" t="s">
        <v>107</v>
      </c>
      <c r="I28" s="74" t="b">
        <v>1</v>
      </c>
      <c r="J28" s="67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36" hidden="false" customHeight="true" outlineLevel="0" collapsed="false">
      <c r="A29" s="20" t="n">
        <v>42</v>
      </c>
      <c r="B29" s="21" t="s">
        <v>108</v>
      </c>
      <c r="C29" s="21"/>
      <c r="D29" s="39" t="n">
        <v>43</v>
      </c>
      <c r="E29" s="21" t="s">
        <v>109</v>
      </c>
      <c r="F29" s="40"/>
      <c r="G29" s="14"/>
      <c r="H29" s="75" t="s">
        <v>110</v>
      </c>
      <c r="I29" s="75"/>
      <c r="J29" s="75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36" hidden="false" customHeight="true" outlineLevel="0" collapsed="false">
      <c r="A30" s="20" t="n">
        <v>44</v>
      </c>
      <c r="B30" s="21" t="s">
        <v>111</v>
      </c>
      <c r="C30" s="21"/>
      <c r="D30" s="39" t="n">
        <v>45</v>
      </c>
      <c r="E30" s="21" t="s">
        <v>112</v>
      </c>
      <c r="F30" s="76" t="str">
        <f aca="false">IF(I28,"NO CORRESPONDE",I24*1000/(F26+IF(ISNUMBER(C31),C31*1000,0)))</f>
        <v>NO CORRESPONDE</v>
      </c>
      <c r="G30" s="14"/>
      <c r="H30" s="14"/>
      <c r="I30" s="75"/>
      <c r="J30" s="75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8" hidden="false" customHeight="true" outlineLevel="0" collapsed="false">
      <c r="A31" s="27" t="n">
        <v>46</v>
      </c>
      <c r="B31" s="28" t="s">
        <v>113</v>
      </c>
      <c r="C31" s="28"/>
      <c r="D31" s="77"/>
      <c r="E31" s="77"/>
      <c r="F31" s="77"/>
      <c r="G31" s="14"/>
      <c r="H31" s="14"/>
      <c r="I31" s="75"/>
      <c r="J31" s="75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24" hidden="false" customHeight="true" outlineLevel="0" collapsed="false">
      <c r="A32" s="30" t="s">
        <v>114</v>
      </c>
      <c r="B32" s="30"/>
      <c r="C32" s="30"/>
      <c r="D32" s="30"/>
      <c r="E32" s="30"/>
      <c r="F32" s="30"/>
      <c r="G32" s="14"/>
      <c r="H32" s="14"/>
      <c r="I32" s="75"/>
      <c r="J32" s="75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8" hidden="false" customHeight="true" outlineLevel="0" collapsed="false">
      <c r="A33" s="17" t="n">
        <v>47</v>
      </c>
      <c r="B33" s="18" t="s">
        <v>115</v>
      </c>
      <c r="C33" s="78"/>
      <c r="D33" s="78"/>
      <c r="E33" s="78"/>
      <c r="F33" s="78"/>
      <c r="G33" s="14"/>
      <c r="H33" s="14"/>
      <c r="I33" s="75"/>
      <c r="J33" s="75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8" hidden="false" customHeight="true" outlineLevel="0" collapsed="false">
      <c r="A34" s="20" t="n">
        <v>48</v>
      </c>
      <c r="B34" s="21" t="s">
        <v>116</v>
      </c>
      <c r="C34" s="40"/>
      <c r="D34" s="40"/>
      <c r="E34" s="40"/>
      <c r="F34" s="40"/>
      <c r="G34" s="14"/>
      <c r="H34" s="14"/>
      <c r="I34" s="75"/>
      <c r="J34" s="75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8" hidden="false" customHeight="true" outlineLevel="0" collapsed="false">
      <c r="A35" s="20" t="n">
        <v>49</v>
      </c>
      <c r="B35" s="21" t="s">
        <v>117</v>
      </c>
      <c r="C35" s="21"/>
      <c r="D35" s="39" t="n">
        <v>50</v>
      </c>
      <c r="E35" s="21" t="s">
        <v>118</v>
      </c>
      <c r="F35" s="40"/>
      <c r="G35" s="14"/>
      <c r="H35" s="14"/>
      <c r="I35" s="75"/>
      <c r="J35" s="75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8" hidden="false" customHeight="true" outlineLevel="0" collapsed="false">
      <c r="A36" s="20" t="n">
        <v>51</v>
      </c>
      <c r="B36" s="21" t="s">
        <v>119</v>
      </c>
      <c r="C36" s="21"/>
      <c r="D36" s="39" t="n">
        <v>52</v>
      </c>
      <c r="E36" s="21" t="s">
        <v>120</v>
      </c>
      <c r="F36" s="40"/>
      <c r="G36" s="14"/>
      <c r="H36" s="79"/>
      <c r="I36" s="79"/>
      <c r="J36" s="79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8" hidden="false" customHeight="true" outlineLevel="0" collapsed="false">
      <c r="A37" s="20" t="n">
        <v>53</v>
      </c>
      <c r="B37" s="21" t="s">
        <v>121</v>
      </c>
      <c r="C37" s="40"/>
      <c r="D37" s="40"/>
      <c r="E37" s="40"/>
      <c r="F37" s="40"/>
      <c r="G37" s="14"/>
      <c r="H37" s="58"/>
      <c r="I37" s="58"/>
      <c r="J37" s="58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8" hidden="false" customHeight="true" outlineLevel="0" collapsed="false">
      <c r="A38" s="20" t="n">
        <v>54</v>
      </c>
      <c r="B38" s="21" t="s">
        <v>122</v>
      </c>
      <c r="C38" s="80"/>
      <c r="D38" s="80"/>
      <c r="E38" s="80"/>
      <c r="F38" s="80"/>
      <c r="G38" s="14"/>
      <c r="H38" s="58"/>
      <c r="I38" s="58"/>
      <c r="J38" s="58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8" hidden="false" customHeight="true" outlineLevel="0" collapsed="false">
      <c r="A39" s="20" t="n">
        <v>55</v>
      </c>
      <c r="B39" s="21" t="s">
        <v>123</v>
      </c>
      <c r="C39" s="21"/>
      <c r="D39" s="39" t="n">
        <v>56</v>
      </c>
      <c r="E39" s="21" t="s">
        <v>124</v>
      </c>
      <c r="F39" s="40"/>
      <c r="G39" s="14"/>
      <c r="H39" s="58"/>
      <c r="I39" s="58"/>
      <c r="J39" s="58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8" hidden="false" customHeight="true" outlineLevel="0" collapsed="false">
      <c r="A40" s="20" t="n">
        <v>57</v>
      </c>
      <c r="B40" s="21" t="s">
        <v>125</v>
      </c>
      <c r="C40" s="21"/>
      <c r="D40" s="39" t="n">
        <v>58</v>
      </c>
      <c r="E40" s="21" t="s">
        <v>126</v>
      </c>
      <c r="F40" s="40"/>
      <c r="G40" s="14"/>
      <c r="H40" s="58"/>
      <c r="I40" s="58"/>
      <c r="J40" s="58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36" hidden="false" customHeight="true" outlineLevel="0" collapsed="false">
      <c r="A41" s="20" t="n">
        <v>59</v>
      </c>
      <c r="B41" s="21" t="s">
        <v>127</v>
      </c>
      <c r="C41" s="81"/>
      <c r="D41" s="39" t="n">
        <v>60</v>
      </c>
      <c r="E41" s="21" t="s">
        <v>128</v>
      </c>
      <c r="F41" s="40"/>
      <c r="G41" s="14"/>
      <c r="H41" s="58"/>
      <c r="I41" s="58"/>
      <c r="J41" s="58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36" hidden="false" customHeight="true" outlineLevel="0" collapsed="false">
      <c r="A42" s="27" t="n">
        <v>61</v>
      </c>
      <c r="B42" s="28" t="s">
        <v>129</v>
      </c>
      <c r="C42" s="82" t="str">
        <f aca="false">IF(ISNUMBER(I43),ROUND(I43,0),I43)</f>
        <v>NO CORRESPONDE</v>
      </c>
      <c r="D42" s="83" t="n">
        <v>62</v>
      </c>
      <c r="E42" s="28" t="s">
        <v>130</v>
      </c>
      <c r="F42" s="84"/>
      <c r="G42" s="14"/>
      <c r="H42" s="85" t="s">
        <v>131</v>
      </c>
      <c r="I42" s="85"/>
      <c r="J42" s="86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24" hidden="false" customHeight="true" outlineLevel="0" collapsed="false">
      <c r="A43" s="30" t="s">
        <v>132</v>
      </c>
      <c r="B43" s="30"/>
      <c r="C43" s="30"/>
      <c r="D43" s="30"/>
      <c r="E43" s="30"/>
      <c r="F43" s="30"/>
      <c r="G43" s="14"/>
      <c r="H43" s="72" t="s">
        <v>44</v>
      </c>
      <c r="I43" s="87" t="str">
        <f aca="false">IF(ISBLANK(I44), IF(ISBLANK(I45), IF(ISBLANK(I46), "NO CORRESPONDE", I46*J46), I45*J45), I44)</f>
        <v>NO CORRESPONDE</v>
      </c>
      <c r="J43" s="86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8" hidden="false" customHeight="true" outlineLevel="0" collapsed="false">
      <c r="A44" s="17" t="n">
        <v>63</v>
      </c>
      <c r="B44" s="18" t="s">
        <v>133</v>
      </c>
      <c r="C44" s="18"/>
      <c r="D44" s="34" t="n">
        <v>64</v>
      </c>
      <c r="E44" s="18" t="s">
        <v>134</v>
      </c>
      <c r="F44" s="35"/>
      <c r="G44" s="14"/>
      <c r="H44" s="72" t="s">
        <v>135</v>
      </c>
      <c r="I44" s="45"/>
      <c r="J44" s="86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8" hidden="false" customHeight="true" outlineLevel="0" collapsed="false">
      <c r="A45" s="20" t="n">
        <v>65</v>
      </c>
      <c r="B45" s="21" t="s">
        <v>136</v>
      </c>
      <c r="C45" s="21"/>
      <c r="D45" s="39" t="n">
        <v>66</v>
      </c>
      <c r="E45" s="21" t="s">
        <v>137</v>
      </c>
      <c r="F45" s="40"/>
      <c r="G45" s="14"/>
      <c r="H45" s="72" t="s">
        <v>138</v>
      </c>
      <c r="I45" s="48"/>
      <c r="J45" s="38" t="n">
        <v>3.785412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8" hidden="false" customHeight="true" outlineLevel="0" collapsed="false">
      <c r="A46" s="20" t="n">
        <v>67</v>
      </c>
      <c r="B46" s="21" t="s">
        <v>139</v>
      </c>
      <c r="C46" s="21" t="n">
        <f aca="false">I49</f>
        <v>0</v>
      </c>
      <c r="D46" s="39" t="n">
        <v>68</v>
      </c>
      <c r="E46" s="21" t="s">
        <v>140</v>
      </c>
      <c r="F46" s="40"/>
      <c r="G46" s="14"/>
      <c r="H46" s="88" t="s">
        <v>141</v>
      </c>
      <c r="I46" s="89"/>
      <c r="J46" s="90" t="n">
        <v>4.546092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8" hidden="false" customHeight="true" outlineLevel="0" collapsed="false">
      <c r="A47" s="20" t="n">
        <v>69</v>
      </c>
      <c r="B47" s="21" t="s">
        <v>142</v>
      </c>
      <c r="C47" s="21"/>
      <c r="D47" s="39" t="n">
        <v>70</v>
      </c>
      <c r="E47" s="21" t="s">
        <v>143</v>
      </c>
      <c r="F47" s="40" t="str">
        <f aca="false">IF(ISNUMBER(H22), I24 &amp; " kW. @ " &amp; H22 &amp; " rpm", "NO CORRESPONDE")</f>
        <v>NO CORRESPONDE</v>
      </c>
      <c r="G47" s="14"/>
      <c r="H47" s="91"/>
      <c r="I47" s="91"/>
      <c r="J47" s="91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8" hidden="false" customHeight="true" outlineLevel="0" collapsed="false">
      <c r="A48" s="92" t="n">
        <v>71</v>
      </c>
      <c r="B48" s="93" t="s">
        <v>144</v>
      </c>
      <c r="C48" s="93"/>
      <c r="D48" s="94" t="n">
        <v>72</v>
      </c>
      <c r="E48" s="95" t="s">
        <v>145</v>
      </c>
      <c r="F48" s="60"/>
      <c r="G48" s="14"/>
      <c r="H48" s="61" t="s">
        <v>146</v>
      </c>
      <c r="I48" s="96"/>
      <c r="J48" s="97" t="b"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24" hidden="false" customHeight="true" outlineLevel="0" collapsed="false">
      <c r="A49" s="30" t="s">
        <v>147</v>
      </c>
      <c r="B49" s="30"/>
      <c r="C49" s="30"/>
      <c r="D49" s="30"/>
      <c r="E49" s="30"/>
      <c r="F49" s="30"/>
      <c r="G49" s="14"/>
      <c r="H49" s="72" t="s">
        <v>44</v>
      </c>
      <c r="I49" s="87" t="n">
        <f aca="false">IF(J48, "NO CORRESPONDE", SUM(J50:J52))</f>
        <v>0</v>
      </c>
      <c r="J49" s="38" t="s">
        <v>148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8" hidden="false" customHeight="true" outlineLevel="0" collapsed="false">
      <c r="A50" s="17" t="n">
        <v>73</v>
      </c>
      <c r="B50" s="18" t="s">
        <v>149</v>
      </c>
      <c r="C50" s="18"/>
      <c r="D50" s="98" t="n">
        <v>74</v>
      </c>
      <c r="E50" s="98" t="s">
        <v>150</v>
      </c>
      <c r="F50" s="35"/>
      <c r="G50" s="14"/>
      <c r="H50" s="72" t="s">
        <v>151</v>
      </c>
      <c r="I50" s="45"/>
      <c r="J50" s="38" t="n">
        <f aca="false">I50*1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8" hidden="false" customHeight="true" outlineLevel="0" collapsed="false">
      <c r="A51" s="20" t="n">
        <v>75</v>
      </c>
      <c r="B51" s="21" t="s">
        <v>152</v>
      </c>
      <c r="C51" s="21"/>
      <c r="D51" s="39" t="n">
        <v>76</v>
      </c>
      <c r="E51" s="21" t="s">
        <v>153</v>
      </c>
      <c r="F51" s="99"/>
      <c r="G51" s="14"/>
      <c r="H51" s="72" t="s">
        <v>154</v>
      </c>
      <c r="I51" s="48"/>
      <c r="J51" s="38" t="n">
        <f aca="false">I51*1000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8" hidden="false" customHeight="true" outlineLevel="0" collapsed="false">
      <c r="A52" s="20" t="n">
        <v>77</v>
      </c>
      <c r="B52" s="21" t="s">
        <v>155</v>
      </c>
      <c r="C52" s="100"/>
      <c r="D52" s="39" t="n">
        <v>78</v>
      </c>
      <c r="E52" s="21" t="s">
        <v>156</v>
      </c>
      <c r="F52" s="99" t="str">
        <f aca="false">IF(AND(ISNUMBER(F51), ISNUMBER(C52)), SUM(F51,C52), "NO CORRESPONDE")</f>
        <v>NO CORRESPONDE</v>
      </c>
      <c r="G52" s="14"/>
      <c r="H52" s="88" t="s">
        <v>157</v>
      </c>
      <c r="I52" s="50"/>
      <c r="J52" s="90" t="n">
        <f aca="false">I52*16.3871</f>
        <v>0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8" hidden="false" customHeight="true" outlineLevel="0" collapsed="false">
      <c r="A53" s="20" t="n">
        <v>79</v>
      </c>
      <c r="B53" s="21" t="s">
        <v>158</v>
      </c>
      <c r="C53" s="100"/>
      <c r="D53" s="39" t="n">
        <v>80</v>
      </c>
      <c r="E53" s="21" t="s">
        <v>159</v>
      </c>
      <c r="F53" s="76"/>
      <c r="G53" s="14"/>
      <c r="H53" s="101"/>
      <c r="I53" s="101"/>
      <c r="J53" s="101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8" hidden="false" customHeight="true" outlineLevel="0" collapsed="false">
      <c r="A54" s="27" t="n">
        <v>81</v>
      </c>
      <c r="B54" s="28" t="s">
        <v>160</v>
      </c>
      <c r="C54" s="60"/>
      <c r="D54" s="60"/>
      <c r="E54" s="60"/>
      <c r="F54" s="60"/>
      <c r="G54" s="14"/>
      <c r="H54" s="101"/>
      <c r="I54" s="101"/>
      <c r="J54" s="101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24" hidden="false" customHeight="true" outlineLevel="0" collapsed="false">
      <c r="A55" s="30" t="s">
        <v>161</v>
      </c>
      <c r="B55" s="30"/>
      <c r="C55" s="30"/>
      <c r="D55" s="30"/>
      <c r="E55" s="30"/>
      <c r="F55" s="30"/>
      <c r="G55" s="14"/>
      <c r="H55" s="101"/>
      <c r="I55" s="101"/>
      <c r="J55" s="101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8" hidden="false" customHeight="true" outlineLevel="0" collapsed="false">
      <c r="A56" s="17" t="n">
        <v>82</v>
      </c>
      <c r="B56" s="18" t="s">
        <v>162</v>
      </c>
      <c r="C56" s="18"/>
      <c r="D56" s="34" t="n">
        <v>83</v>
      </c>
      <c r="E56" s="18" t="s">
        <v>163</v>
      </c>
      <c r="F56" s="35"/>
      <c r="G56" s="14"/>
      <c r="H56" s="101"/>
      <c r="I56" s="101"/>
      <c r="J56" s="101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8" hidden="false" customHeight="true" outlineLevel="0" collapsed="false">
      <c r="A57" s="27" t="n">
        <v>84</v>
      </c>
      <c r="B57" s="28" t="s">
        <v>164</v>
      </c>
      <c r="C57" s="28"/>
      <c r="D57" s="83" t="n">
        <v>85</v>
      </c>
      <c r="E57" s="28" t="s">
        <v>165</v>
      </c>
      <c r="F57" s="84"/>
      <c r="G57" s="14"/>
      <c r="H57" s="101"/>
      <c r="I57" s="101"/>
      <c r="J57" s="101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24" hidden="false" customHeight="true" outlineLevel="0" collapsed="false">
      <c r="A58" s="30" t="s">
        <v>166</v>
      </c>
      <c r="B58" s="30"/>
      <c r="C58" s="30"/>
      <c r="D58" s="30"/>
      <c r="E58" s="30"/>
      <c r="F58" s="30"/>
      <c r="G58" s="14"/>
      <c r="H58" s="101"/>
      <c r="I58" s="101"/>
      <c r="J58" s="101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8" hidden="false" customHeight="true" outlineLevel="0" collapsed="false">
      <c r="A59" s="17" t="n">
        <v>86</v>
      </c>
      <c r="B59" s="18" t="s">
        <v>167</v>
      </c>
      <c r="C59" s="78"/>
      <c r="D59" s="78"/>
      <c r="E59" s="78"/>
      <c r="F59" s="78"/>
      <c r="G59" s="14"/>
      <c r="H59" s="101"/>
      <c r="I59" s="101"/>
      <c r="J59" s="101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27" hidden="false" customHeight="true" outlineLevel="0" collapsed="false">
      <c r="A60" s="20" t="n">
        <v>87</v>
      </c>
      <c r="B60" s="21" t="s">
        <v>168</v>
      </c>
      <c r="C60" s="21"/>
      <c r="D60" s="39" t="n">
        <v>88</v>
      </c>
      <c r="E60" s="21" t="s">
        <v>169</v>
      </c>
      <c r="F60" s="40"/>
      <c r="G60" s="14"/>
      <c r="H60" s="101"/>
      <c r="I60" s="101"/>
      <c r="J60" s="101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8" hidden="false" customHeight="true" outlineLevel="0" collapsed="false">
      <c r="A61" s="20" t="n">
        <v>89</v>
      </c>
      <c r="B61" s="21" t="s">
        <v>170</v>
      </c>
      <c r="C61" s="21"/>
      <c r="D61" s="39" t="n">
        <v>90</v>
      </c>
      <c r="E61" s="21" t="s">
        <v>171</v>
      </c>
      <c r="F61" s="40"/>
      <c r="G61" s="14"/>
      <c r="H61" s="101"/>
      <c r="I61" s="101"/>
      <c r="J61" s="101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8" hidden="false" customHeight="true" outlineLevel="0" collapsed="false">
      <c r="A62" s="20" t="n">
        <v>91</v>
      </c>
      <c r="B62" s="21" t="s">
        <v>172</v>
      </c>
      <c r="C62" s="21"/>
      <c r="D62" s="39" t="n">
        <v>92</v>
      </c>
      <c r="E62" s="21" t="s">
        <v>173</v>
      </c>
      <c r="F62" s="40"/>
      <c r="G62" s="14"/>
      <c r="H62" s="101"/>
      <c r="I62" s="101"/>
      <c r="J62" s="101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8" hidden="false" customHeight="true" outlineLevel="0" collapsed="false">
      <c r="A63" s="20" t="n">
        <v>93</v>
      </c>
      <c r="B63" s="21" t="s">
        <v>174</v>
      </c>
      <c r="C63" s="21"/>
      <c r="D63" s="39" t="n">
        <v>94</v>
      </c>
      <c r="E63" s="21" t="s">
        <v>175</v>
      </c>
      <c r="F63" s="40"/>
      <c r="G63" s="14"/>
      <c r="H63" s="101"/>
      <c r="I63" s="101"/>
      <c r="J63" s="101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8" hidden="false" customHeight="true" outlineLevel="0" collapsed="false">
      <c r="A64" s="20" t="n">
        <v>95</v>
      </c>
      <c r="B64" s="21" t="s">
        <v>176</v>
      </c>
      <c r="C64" s="21"/>
      <c r="D64" s="39" t="n">
        <v>96</v>
      </c>
      <c r="E64" s="21" t="s">
        <v>177</v>
      </c>
      <c r="F64" s="40"/>
      <c r="G64" s="14"/>
      <c r="H64" s="101"/>
      <c r="I64" s="101"/>
      <c r="J64" s="101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8" hidden="false" customHeight="true" outlineLevel="0" collapsed="false">
      <c r="A65" s="27" t="n">
        <v>97</v>
      </c>
      <c r="B65" s="28" t="s">
        <v>178</v>
      </c>
      <c r="C65" s="60"/>
      <c r="D65" s="60"/>
      <c r="E65" s="60"/>
      <c r="F65" s="60"/>
      <c r="G65" s="14"/>
      <c r="H65" s="101"/>
      <c r="I65" s="101"/>
      <c r="J65" s="101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24" hidden="false" customHeight="true" outlineLevel="0" collapsed="false">
      <c r="A66" s="30" t="s">
        <v>179</v>
      </c>
      <c r="B66" s="30"/>
      <c r="C66" s="30"/>
      <c r="D66" s="30"/>
      <c r="E66" s="30"/>
      <c r="F66" s="30"/>
      <c r="G66" s="14"/>
      <c r="H66" s="101"/>
      <c r="I66" s="101"/>
      <c r="J66" s="101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2.75" hidden="false" customHeight="true" outlineLevel="0" collapsed="false">
      <c r="A67" s="17" t="n">
        <v>98</v>
      </c>
      <c r="B67" s="18" t="s">
        <v>180</v>
      </c>
      <c r="C67" s="18" t="s">
        <v>181</v>
      </c>
      <c r="D67" s="34" t="n">
        <v>99</v>
      </c>
      <c r="E67" s="18" t="s">
        <v>182</v>
      </c>
      <c r="F67" s="35" t="s">
        <v>181</v>
      </c>
      <c r="G67" s="14"/>
      <c r="H67" s="101"/>
      <c r="I67" s="101"/>
      <c r="J67" s="101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2.75" hidden="false" customHeight="true" outlineLevel="0" collapsed="false">
      <c r="A68" s="20" t="n">
        <v>100</v>
      </c>
      <c r="B68" s="21" t="s">
        <v>183</v>
      </c>
      <c r="C68" s="21" t="s">
        <v>181</v>
      </c>
      <c r="D68" s="39" t="n">
        <v>101</v>
      </c>
      <c r="E68" s="21" t="s">
        <v>184</v>
      </c>
      <c r="F68" s="40" t="s">
        <v>181</v>
      </c>
      <c r="G68" s="14"/>
      <c r="H68" s="101"/>
      <c r="I68" s="101"/>
      <c r="J68" s="101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2.75" hidden="false" customHeight="true" outlineLevel="0" collapsed="false">
      <c r="A69" s="20" t="n">
        <v>102</v>
      </c>
      <c r="B69" s="21" t="s">
        <v>185</v>
      </c>
      <c r="C69" s="102" t="s">
        <v>181</v>
      </c>
      <c r="D69" s="102"/>
      <c r="E69" s="102"/>
      <c r="F69" s="102"/>
      <c r="G69" s="14"/>
      <c r="H69" s="101"/>
      <c r="I69" s="101"/>
      <c r="J69" s="101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50.25" hidden="false" customHeight="true" outlineLevel="0" collapsed="false">
      <c r="A70" s="27" t="n">
        <v>103</v>
      </c>
      <c r="B70" s="28" t="s">
        <v>186</v>
      </c>
      <c r="C70" s="103" t="s">
        <v>181</v>
      </c>
      <c r="D70" s="103"/>
      <c r="E70" s="103"/>
      <c r="F70" s="103"/>
      <c r="G70" s="14"/>
      <c r="H70" s="101"/>
      <c r="I70" s="101"/>
      <c r="J70" s="101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24" hidden="false" customHeight="true" outlineLevel="0" collapsed="false">
      <c r="A71" s="30" t="s">
        <v>187</v>
      </c>
      <c r="B71" s="30"/>
      <c r="C71" s="30"/>
      <c r="D71" s="30"/>
      <c r="E71" s="30"/>
      <c r="F71" s="30"/>
      <c r="G71" s="14"/>
      <c r="H71" s="101"/>
      <c r="I71" s="101"/>
      <c r="J71" s="101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30" hidden="false" customHeight="true" outlineLevel="0" collapsed="false">
      <c r="A72" s="104" t="s">
        <v>188</v>
      </c>
      <c r="B72" s="104"/>
      <c r="C72" s="104"/>
      <c r="D72" s="104"/>
      <c r="E72" s="104"/>
      <c r="F72" s="104"/>
      <c r="G72" s="14"/>
      <c r="H72" s="101"/>
      <c r="I72" s="101"/>
      <c r="J72" s="101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90.5" hidden="false" customHeight="true" outlineLevel="0" collapsed="false">
      <c r="A73" s="20" t="n">
        <v>104</v>
      </c>
      <c r="B73" s="105" t="s">
        <v>189</v>
      </c>
      <c r="C73" s="102"/>
      <c r="D73" s="102"/>
      <c r="E73" s="102"/>
      <c r="F73" s="102"/>
      <c r="G73" s="14"/>
      <c r="H73" s="101"/>
      <c r="I73" s="101"/>
      <c r="J73" s="101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225" hidden="false" customHeight="true" outlineLevel="0" collapsed="false">
      <c r="A74" s="27" t="n">
        <v>105</v>
      </c>
      <c r="B74" s="106" t="s">
        <v>190</v>
      </c>
      <c r="C74" s="77"/>
      <c r="D74" s="77"/>
      <c r="E74" s="77"/>
      <c r="F74" s="77"/>
      <c r="G74" s="14"/>
      <c r="H74" s="101"/>
      <c r="I74" s="101"/>
      <c r="J74" s="101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8" hidden="false" customHeight="true" outlineLevel="0" collapsed="false">
      <c r="A75" s="5" t="n">
        <v>106</v>
      </c>
      <c r="B75" s="6" t="s">
        <v>191</v>
      </c>
      <c r="C75" s="107" t="str">
        <f aca="false">CONCATENATE(H75, ", ", TEXT(DAY(J75), "00"), " de ", O14, " de ", TEXT(YEAR(J75), "0000"), ".")</f>
        <v>, 30 de Diciembre de 1899.</v>
      </c>
      <c r="D75" s="107"/>
      <c r="E75" s="107"/>
      <c r="F75" s="107"/>
      <c r="G75" s="108" t="s">
        <v>192</v>
      </c>
      <c r="H75" s="109"/>
      <c r="I75" s="110" t="s">
        <v>193</v>
      </c>
      <c r="J75" s="111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true" outlineLevel="0" collapsed="false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customFormat="false" ht="12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2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2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2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2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2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2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2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2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2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2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2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2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2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2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2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2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2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2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2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2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2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2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2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2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2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2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2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2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2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2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2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2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2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2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2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2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2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2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2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2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2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2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2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2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2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2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2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2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2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2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2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2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2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2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2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2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2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2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2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2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2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2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2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2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2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2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2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2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2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2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2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2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2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2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2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2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2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2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2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2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2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2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2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2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2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2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2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2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2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2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2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2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2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2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2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2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2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2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2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2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2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2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2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2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2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2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2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2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2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2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2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2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2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2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2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2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2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2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2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2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2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2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2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2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2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2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2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2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2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2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2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2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2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2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2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2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2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2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2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2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2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2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2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2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2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2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2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2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2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2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2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2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2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2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2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2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2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2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2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2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2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2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2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2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2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2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2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2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2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2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2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2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2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2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2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2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2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2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2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2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2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2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2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2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2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2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2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2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2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2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2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2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2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2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2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2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2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2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2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2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2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2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2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2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2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2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2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2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2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2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2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2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2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2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2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2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2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2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2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2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2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2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2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2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2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2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2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2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2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2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2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2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2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2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2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2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2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2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2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2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2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2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2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2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2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2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2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2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2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2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2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2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2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2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2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2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2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2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2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2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2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2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2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2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2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2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2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2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2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2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2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2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2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2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2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2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2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2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2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2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2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2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2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2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2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2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2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2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2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2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2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2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2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2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2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2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2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2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2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2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2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2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2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2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2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2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2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2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2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2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2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2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2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2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2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2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2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2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2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2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2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2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2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2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2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2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2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2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2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2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2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2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2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2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2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2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2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2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2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2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2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2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2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2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2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2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2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2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2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2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2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2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2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2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2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2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2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2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2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2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2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2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2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2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2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2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2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2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2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2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2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2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2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2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2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2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2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2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2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2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2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2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2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2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2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2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2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2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2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2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2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2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2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2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2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2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2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2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2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2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2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2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2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2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2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2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2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2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2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2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2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2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2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2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2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2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2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2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2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2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2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2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2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2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2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2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2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2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2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2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2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2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2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2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2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2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2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2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2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2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2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2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2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2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2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2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2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2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2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2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2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2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2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2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2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2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2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2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2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2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2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2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2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2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2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2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2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2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2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2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2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2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2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2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2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2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2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2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2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2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2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2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2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2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2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2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2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2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2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2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2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2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2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2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2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2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2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2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2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2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2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2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2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2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2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2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2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2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2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2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2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2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2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2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2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2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2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2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2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2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2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2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2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2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2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2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2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2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2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2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2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2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2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2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2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2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2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2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2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2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2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2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2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2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2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2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2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2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2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2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2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2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2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2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2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2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2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2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2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2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2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2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2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2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2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2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2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2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2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2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2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2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2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2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2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2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2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2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2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2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2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2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2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2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2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2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2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2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2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2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2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2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2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2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2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2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2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2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2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2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2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2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2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2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2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2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2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2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2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2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2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2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2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2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2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2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2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2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2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2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2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2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2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2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2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2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2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2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2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2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2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2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2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2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2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2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2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2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2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2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2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2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2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2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2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2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2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2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2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2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2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2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2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2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2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2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2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2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2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2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2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2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2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2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2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2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2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2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2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2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2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2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2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2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2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2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2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2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2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2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2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2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2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2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2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2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2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2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2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2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2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2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2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2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2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2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2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2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2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2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2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2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2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2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2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2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2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2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2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2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2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2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2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2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2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2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2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2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2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2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2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2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2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2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2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2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2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2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2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2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2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2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2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2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2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2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2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2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2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2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2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2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2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2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2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2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2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2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2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2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2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2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2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2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2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2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2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2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2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2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2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2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2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2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2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2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2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2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2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2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2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2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2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2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2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2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2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2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2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2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2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2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2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2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2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2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2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2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2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2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2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2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2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2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2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2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2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2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2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2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2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2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2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2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2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2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2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2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2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2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2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2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2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2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2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2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2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2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2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2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2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2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2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2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2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2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2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2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2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2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2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2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2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2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2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2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2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2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2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2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2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2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2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2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2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2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2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2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2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2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2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2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2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2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2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2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2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2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2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2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2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2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2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2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2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2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2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2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2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2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2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2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2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2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2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2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2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2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2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2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2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2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2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2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2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2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2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2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2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2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2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2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2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2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2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2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2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2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2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2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2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2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2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2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2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2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2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2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2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2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2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2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2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2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2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2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2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2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2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2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2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2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2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1">
    <mergeCell ref="A1:F1"/>
    <mergeCell ref="G1:J2"/>
    <mergeCell ref="D2:E2"/>
    <mergeCell ref="A3:F3"/>
    <mergeCell ref="G3:G74"/>
    <mergeCell ref="H3:J5"/>
    <mergeCell ref="B4:C4"/>
    <mergeCell ref="D4:F4"/>
    <mergeCell ref="B5:C5"/>
    <mergeCell ref="D5:F5"/>
    <mergeCell ref="B6:C6"/>
    <mergeCell ref="D6:F6"/>
    <mergeCell ref="I6:J6"/>
    <mergeCell ref="B7:C7"/>
    <mergeCell ref="D7:F7"/>
    <mergeCell ref="H7:J8"/>
    <mergeCell ref="B8:C8"/>
    <mergeCell ref="D8:F8"/>
    <mergeCell ref="A9:F9"/>
    <mergeCell ref="H18:J20"/>
    <mergeCell ref="C20:F20"/>
    <mergeCell ref="A21:F21"/>
    <mergeCell ref="I21:I22"/>
    <mergeCell ref="H29:J35"/>
    <mergeCell ref="D31:F31"/>
    <mergeCell ref="A32:F32"/>
    <mergeCell ref="C33:F33"/>
    <mergeCell ref="C34:F34"/>
    <mergeCell ref="H36:J36"/>
    <mergeCell ref="C37:F37"/>
    <mergeCell ref="H37:J41"/>
    <mergeCell ref="C38:F38"/>
    <mergeCell ref="H42:I42"/>
    <mergeCell ref="J42:J44"/>
    <mergeCell ref="A43:F43"/>
    <mergeCell ref="A49:F49"/>
    <mergeCell ref="H53:J74"/>
    <mergeCell ref="C54:F54"/>
    <mergeCell ref="A55:F55"/>
    <mergeCell ref="A58:F58"/>
    <mergeCell ref="C59:F59"/>
    <mergeCell ref="C65:F65"/>
    <mergeCell ref="A66:F66"/>
    <mergeCell ref="C69:F69"/>
    <mergeCell ref="C70:F70"/>
    <mergeCell ref="A71:F71"/>
    <mergeCell ref="A72:F72"/>
    <mergeCell ref="C73:F73"/>
    <mergeCell ref="C74:F74"/>
    <mergeCell ref="C75:F75"/>
    <mergeCell ref="A76:J76"/>
  </mergeCells>
  <dataValidations count="6">
    <dataValidation allowBlank="true" errorStyle="stop" operator="equal" prompt="Combustible Inválido - Ingrese uno de los valores de la Tabla V: Tipos de Combustible o Fuente de Energía de la Estandarización de Características Registrables Vehiculares." showDropDown="false" showErrorMessage="true" showInputMessage="true" sqref="F15" type="list">
      <formula1>$L$3:$L$24</formula1>
      <formula2>0</formula2>
    </dataValidation>
    <dataValidation allowBlank="true" errorStyle="stop" operator="equal" prompt="Dato Inválido - Seleccione una de las posibles ubicaciones de la lista desplegable." showDropDown="false" showErrorMessage="true" showInputMessage="true" sqref="C44" type="list">
      <formula1>"NO CORRESPONDE,DELANTERO,CENTRAL,POSTERIOR"</formula1>
      <formula2>0</formula2>
    </dataValidation>
    <dataValidation allowBlank="true" errorStyle="stop" operator="equal" prompt="Valor Inválido - Seleccione una posible posición de la lista desplegable." showDropDown="false" showErrorMessage="true" showInputMessage="true" sqref="F44" type="list">
      <formula1>"NO CORRESPONDE,TRANSVERSAL,LONGITUDINAL"</formula1>
      <formula2>0</formula2>
    </dataValidation>
    <dataValidation allowBlank="true" errorStyle="stop" operator="equal" prompt="Valor Inválido - Selecciona una configuración posible de la lista desplegable." showDropDown="false" showErrorMessage="true" showInputMessage="true" sqref="F45" type="list">
      <formula1>"NO CORRESPONDE,EN LÍNEA,EN V,EN V 90º,OPUESTOS HORIZONTALMENTE"</formula1>
      <formula2>0</formula2>
    </dataValidation>
    <dataValidation allowBlank="true" errorStyle="stop" operator="equal" prompt="Valor Inválido - Seleccione un valor de la lista despegable que corresponda a la Tabla IV del a estandarización vehicular." showDropDown="false" showErrorMessage="true" showInputMessage="true" sqref="F56" type="list">
      <formula1>$M$3:$M$8</formula1>
      <formula2>0</formula2>
    </dataValidation>
    <dataValidation allowBlank="true" errorStyle="stop" operator="equal" prompt="Selección - Debe seleccionar uno de los valores definidos para esta celda." showDropDown="false" showErrorMessage="true" showInputMessage="true" sqref="H75" type="list">
      <formula1>"Lima,Callao,Paita,Piura,Tumbes,Salaverry,Trujillo,Pisco,Moquegua,Matarini,Ilo,Mollendo,Tacna,Puerto Maldonado,Iñapari,Pucallpa,Iquitos,Puno"</formula1>
      <formula2>0</formula2>
    </dataValidation>
  </dataValidations>
  <printOptions headings="false" gridLines="false" gridLinesSet="true" horizontalCentered="true" verticalCentered="true"/>
  <pageMargins left="0.511805555555556" right="0.196527777777778" top="1.18125" bottom="0.39375" header="0" footer="0"/>
  <pageSetup paperSize="9" scale="75" fitToWidth="1" fitToHeight="1" pageOrder="downThenOver" orientation="portrait" blackAndWhite="false" draft="false" cellComments="none" horizontalDpi="300" verticalDpi="300" copies="1"/>
  <headerFooter differentFirst="false" differentOddEven="false">
    <oddHeader>&amp;LCIP 73933&amp;CIng. Emilio David Vidal Domínguez&amp;R&amp;P de</oddHeader>
    <oddFooter>&amp;L Confidencial&amp;C&amp;F&amp;RPágina &amp;P</oddFooter>
  </headerFooter>
  <rowBreaks count="1" manualBreakCount="1">
    <brk id="48" man="true" max="16383" min="0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4" name="No Corresponde">
              <controlPr defaultSize="0" locked="1" autoFill="0" autoLine="0" autoPict="0" print="true" altText="Casilla 1">
                <anchor moveWithCells="true" sizeWithCells="false">
                  <from>
                    <xdr:col>8</xdr:col>
                    <xdr:colOff>725400</xdr:colOff>
                    <xdr:row>8</xdr:row>
                    <xdr:rowOff>20880</xdr:rowOff>
                  </from>
                  <to>
                    <xdr:col>10</xdr:col>
                    <xdr:colOff>23760</xdr:colOff>
                    <xdr:row>9</xdr:row>
                    <xdr:rowOff>-17640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5" name="No Corresponde">
              <controlPr defaultSize="0" locked="1" autoFill="0" autoLine="0" autoPict="0" print="true" altText="Casilla 2">
                <anchor moveWithCells="true" sizeWithCells="false">
                  <from>
                    <xdr:col>7</xdr:col>
                    <xdr:colOff>783360</xdr:colOff>
                    <xdr:row>27</xdr:row>
                    <xdr:rowOff>43920</xdr:rowOff>
                  </from>
                  <to>
                    <xdr:col>9</xdr:col>
                    <xdr:colOff>63720</xdr:colOff>
                    <xdr:row>28</xdr:row>
                    <xdr:rowOff>-175320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6" name="No Corresponde">
              <controlPr defaultSize="0" locked="1" autoFill="0" autoLine="0" autoPict="0" print="true" altText="Casilla 3">
                <anchor moveWithCells="true" sizeWithCells="false">
                  <from>
                    <xdr:col>8</xdr:col>
                    <xdr:colOff>811080</xdr:colOff>
                    <xdr:row>47</xdr:row>
                    <xdr:rowOff>19440</xdr:rowOff>
                  </from>
                  <to>
                    <xdr:col>15</xdr:col>
                    <xdr:colOff>138240</xdr:colOff>
                    <xdr:row>48</xdr:row>
                    <xdr:rowOff>57240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75" workbookViewId="0">
      <selection pane="topLeft" activeCell="C12" activeCellId="0" sqref="C12"/>
    </sheetView>
  </sheetViews>
  <sheetFormatPr defaultColWidth="12.71484375" defaultRowHeight="15" customHeight="true" zeroHeight="false" outlineLevelRow="0" outlineLevelCol="0"/>
  <cols>
    <col collapsed="false" customWidth="true" hidden="false" outlineLevel="0" max="1" min="1" style="0" width="3.78"/>
    <col collapsed="false" customWidth="true" hidden="false" outlineLevel="0" max="2" min="2" style="0" width="25.3"/>
    <col collapsed="false" customWidth="true" hidden="false" outlineLevel="0" max="3" min="3" style="0" width="27.06"/>
    <col collapsed="false" customWidth="true" hidden="false" outlineLevel="0" max="4" min="4" style="0" width="3.78"/>
    <col collapsed="false" customWidth="true" hidden="false" outlineLevel="0" max="5" min="5" style="0" width="25.3"/>
    <col collapsed="false" customWidth="true" hidden="false" outlineLevel="0" max="6" min="6" style="0" width="27.06"/>
    <col collapsed="false" customWidth="true" hidden="false" outlineLevel="0" max="8" min="7" style="0" width="10.07"/>
    <col collapsed="false" customWidth="true" hidden="false" outlineLevel="0" max="9" min="9" style="0" width="10.83"/>
    <col collapsed="false" customWidth="true" hidden="false" outlineLevel="0" max="10" min="10" style="0" width="10.07"/>
    <col collapsed="false" customWidth="true" hidden="false" outlineLevel="0" max="11" min="11" style="0" width="1.13"/>
    <col collapsed="false" customWidth="true" hidden="true" outlineLevel="0" max="12" min="12" style="0" width="4.4"/>
    <col collapsed="false" customWidth="true" hidden="true" outlineLevel="0" max="13" min="13" style="0" width="28.57"/>
    <col collapsed="false" customWidth="true" hidden="true" outlineLevel="0" max="14" min="14" style="0" width="1.13"/>
    <col collapsed="false" customWidth="true" hidden="true" outlineLevel="0" max="15" min="15" style="0" width="9.19"/>
    <col collapsed="false" customWidth="true" hidden="false" outlineLevel="0" max="26" min="16" style="0" width="9.44"/>
  </cols>
  <sheetData>
    <row r="1" customFormat="false" ht="26.25" hidden="false" customHeight="true" outlineLevel="0" collapsed="false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3"/>
      <c r="L1" s="3"/>
      <c r="M1" s="3"/>
      <c r="N1" s="3"/>
      <c r="O1" s="4" t="s">
        <v>1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9.5" hidden="false" customHeight="true" outlineLevel="0" collapsed="false">
      <c r="A2" s="5" t="n">
        <v>1</v>
      </c>
      <c r="B2" s="6" t="s">
        <v>2</v>
      </c>
      <c r="C2" s="7"/>
      <c r="D2" s="8" t="s">
        <v>3</v>
      </c>
      <c r="E2" s="8"/>
      <c r="F2" s="9" t="str">
        <f aca="false">"R" &amp; D5 &amp; "V" &amp; RIGHT(C13,6)</f>
        <v>RV001007</v>
      </c>
      <c r="G2" s="2"/>
      <c r="H2" s="2"/>
      <c r="I2" s="2"/>
      <c r="J2" s="2"/>
      <c r="K2" s="3"/>
      <c r="L2" s="10" t="s">
        <v>4</v>
      </c>
      <c r="M2" s="11" t="s">
        <v>5</v>
      </c>
      <c r="N2" s="3"/>
      <c r="O2" s="12" t="s">
        <v>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24" hidden="false" customHeight="true" outlineLevel="0" collapsed="false">
      <c r="A3" s="13" t="s">
        <v>7</v>
      </c>
      <c r="B3" s="13"/>
      <c r="C3" s="13"/>
      <c r="D3" s="13"/>
      <c r="E3" s="13"/>
      <c r="F3" s="13"/>
      <c r="G3" s="14"/>
      <c r="H3" s="15"/>
      <c r="I3" s="15"/>
      <c r="J3" s="15"/>
      <c r="K3" s="3"/>
      <c r="L3" s="16" t="s">
        <v>8</v>
      </c>
      <c r="M3" s="16" t="s">
        <v>8</v>
      </c>
      <c r="N3" s="3"/>
      <c r="O3" s="12" t="s">
        <v>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9.5" hidden="false" customHeight="true" outlineLevel="0" collapsed="false">
      <c r="A4" s="17" t="n">
        <v>2</v>
      </c>
      <c r="B4" s="18" t="s">
        <v>10</v>
      </c>
      <c r="C4" s="18"/>
      <c r="D4" s="19"/>
      <c r="E4" s="19"/>
      <c r="F4" s="19"/>
      <c r="G4" s="14"/>
      <c r="H4" s="15"/>
      <c r="I4" s="15"/>
      <c r="J4" s="15"/>
      <c r="K4" s="3"/>
      <c r="L4" s="16" t="s">
        <v>11</v>
      </c>
      <c r="M4" s="16" t="s">
        <v>12</v>
      </c>
      <c r="N4" s="3"/>
      <c r="O4" s="12" t="s">
        <v>13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9.5" hidden="false" customHeight="true" outlineLevel="0" collapsed="false">
      <c r="A5" s="20" t="n">
        <v>3</v>
      </c>
      <c r="B5" s="21" t="s">
        <v>14</v>
      </c>
      <c r="C5" s="21"/>
      <c r="D5" s="22"/>
      <c r="E5" s="22"/>
      <c r="F5" s="22"/>
      <c r="G5" s="14"/>
      <c r="H5" s="15"/>
      <c r="I5" s="15"/>
      <c r="J5" s="15"/>
      <c r="K5" s="3"/>
      <c r="L5" s="16" t="s">
        <v>15</v>
      </c>
      <c r="M5" s="16" t="s">
        <v>16</v>
      </c>
      <c r="N5" s="3"/>
      <c r="O5" s="12" t="s">
        <v>17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9.5" hidden="false" customHeight="true" outlineLevel="0" collapsed="false">
      <c r="A6" s="20" t="n">
        <v>4</v>
      </c>
      <c r="B6" s="21" t="s">
        <v>18</v>
      </c>
      <c r="C6" s="21"/>
      <c r="D6" s="22"/>
      <c r="E6" s="22"/>
      <c r="F6" s="22"/>
      <c r="G6" s="14"/>
      <c r="H6" s="23" t="s">
        <v>19</v>
      </c>
      <c r="I6" s="24"/>
      <c r="J6" s="24"/>
      <c r="K6" s="3"/>
      <c r="L6" s="16" t="s">
        <v>20</v>
      </c>
      <c r="M6" s="16" t="s">
        <v>21</v>
      </c>
      <c r="N6" s="3"/>
      <c r="O6" s="12" t="s">
        <v>22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9.5" hidden="false" customHeight="true" outlineLevel="0" collapsed="false">
      <c r="A7" s="20" t="n">
        <v>5</v>
      </c>
      <c r="B7" s="21" t="s">
        <v>23</v>
      </c>
      <c r="C7" s="21"/>
      <c r="D7" s="22"/>
      <c r="E7" s="22"/>
      <c r="F7" s="22"/>
      <c r="G7" s="14"/>
      <c r="H7" s="25" t="s">
        <v>24</v>
      </c>
      <c r="I7" s="25"/>
      <c r="J7" s="25"/>
      <c r="K7" s="3"/>
      <c r="L7" s="16" t="s">
        <v>25</v>
      </c>
      <c r="M7" s="26" t="s">
        <v>26</v>
      </c>
      <c r="N7" s="3"/>
      <c r="O7" s="12" t="s">
        <v>27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9.5" hidden="false" customHeight="true" outlineLevel="0" collapsed="false">
      <c r="A8" s="27" t="n">
        <v>6</v>
      </c>
      <c r="B8" s="28" t="s">
        <v>28</v>
      </c>
      <c r="C8" s="28"/>
      <c r="D8" s="29"/>
      <c r="E8" s="29"/>
      <c r="F8" s="29"/>
      <c r="G8" s="14"/>
      <c r="H8" s="25"/>
      <c r="I8" s="25"/>
      <c r="J8" s="25"/>
      <c r="K8" s="3"/>
      <c r="L8" s="16" t="s">
        <v>29</v>
      </c>
      <c r="M8" s="26" t="s">
        <v>30</v>
      </c>
      <c r="N8" s="3"/>
      <c r="O8" s="12" t="s">
        <v>31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24" hidden="false" customHeight="true" outlineLevel="0" collapsed="false">
      <c r="A9" s="30" t="s">
        <v>32</v>
      </c>
      <c r="B9" s="30"/>
      <c r="C9" s="30"/>
      <c r="D9" s="30"/>
      <c r="E9" s="30"/>
      <c r="F9" s="30"/>
      <c r="G9" s="14"/>
      <c r="H9" s="31" t="s">
        <v>33</v>
      </c>
      <c r="I9" s="32"/>
      <c r="J9" s="33" t="b">
        <v>0</v>
      </c>
      <c r="K9" s="3"/>
      <c r="L9" s="16" t="s">
        <v>34</v>
      </c>
      <c r="M9" s="3"/>
      <c r="N9" s="3"/>
      <c r="O9" s="12" t="s">
        <v>35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8" hidden="false" customHeight="true" outlineLevel="0" collapsed="false">
      <c r="A10" s="17" t="n">
        <v>7</v>
      </c>
      <c r="B10" s="18" t="s">
        <v>36</v>
      </c>
      <c r="C10" s="18"/>
      <c r="D10" s="34" t="n">
        <v>8</v>
      </c>
      <c r="E10" s="18" t="s">
        <v>37</v>
      </c>
      <c r="F10" s="35"/>
      <c r="G10" s="14"/>
      <c r="H10" s="36" t="s">
        <v>38</v>
      </c>
      <c r="I10" s="37" t="n">
        <f aca="false">IF(J9,"NO CORRESPONDE",ROUND(I11,J11))</f>
        <v>0</v>
      </c>
      <c r="J10" s="38" t="s">
        <v>39</v>
      </c>
      <c r="K10" s="3"/>
      <c r="L10" s="16" t="s">
        <v>40</v>
      </c>
      <c r="M10" s="3"/>
      <c r="N10" s="3"/>
      <c r="O10" s="12" t="s">
        <v>41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8" hidden="false" customHeight="true" outlineLevel="0" collapsed="false">
      <c r="A11" s="20" t="n">
        <v>9</v>
      </c>
      <c r="B11" s="21" t="s">
        <v>42</v>
      </c>
      <c r="C11" s="21"/>
      <c r="D11" s="39" t="n">
        <v>10</v>
      </c>
      <c r="E11" s="21" t="s">
        <v>43</v>
      </c>
      <c r="F11" s="40"/>
      <c r="G11" s="14"/>
      <c r="H11" s="41" t="s">
        <v>44</v>
      </c>
      <c r="I11" s="42" t="n">
        <f aca="false">SUM(I12*J12,I13*J13,I14*J14,I15*J17)</f>
        <v>0</v>
      </c>
      <c r="J11" s="38" t="n">
        <v>0</v>
      </c>
      <c r="K11" s="3"/>
      <c r="L11" s="16" t="s">
        <v>45</v>
      </c>
      <c r="M11" s="3"/>
      <c r="N11" s="3"/>
      <c r="O11" s="12" t="s">
        <v>46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8" hidden="false" customHeight="true" outlineLevel="0" collapsed="false">
      <c r="A12" s="20" t="n">
        <v>11</v>
      </c>
      <c r="B12" s="21" t="s">
        <v>47</v>
      </c>
      <c r="C12" s="43" t="s">
        <v>199</v>
      </c>
      <c r="D12" s="39" t="n">
        <v>12</v>
      </c>
      <c r="E12" s="21" t="s">
        <v>49</v>
      </c>
      <c r="F12" s="40"/>
      <c r="G12" s="14"/>
      <c r="H12" s="44" t="s">
        <v>50</v>
      </c>
      <c r="I12" s="45"/>
      <c r="J12" s="38" t="n">
        <v>1</v>
      </c>
      <c r="K12" s="3"/>
      <c r="L12" s="16" t="s">
        <v>51</v>
      </c>
      <c r="M12" s="3"/>
      <c r="N12" s="3"/>
      <c r="O12" s="12" t="s">
        <v>52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8" hidden="false" customHeight="true" outlineLevel="0" collapsed="false">
      <c r="A13" s="20" t="n">
        <v>13</v>
      </c>
      <c r="B13" s="21" t="s">
        <v>53</v>
      </c>
      <c r="C13" s="46" t="str">
        <f aca="false">IF(ISBLANK(I6), C12, I6)</f>
        <v>BBCDE1234WX001007</v>
      </c>
      <c r="D13" s="39" t="n">
        <v>14</v>
      </c>
      <c r="E13" s="21" t="s">
        <v>54</v>
      </c>
      <c r="F13" s="35"/>
      <c r="G13" s="14"/>
      <c r="H13" s="47" t="s">
        <v>55</v>
      </c>
      <c r="I13" s="48"/>
      <c r="J13" s="38" t="n">
        <v>1.609344</v>
      </c>
      <c r="K13" s="3"/>
      <c r="L13" s="16" t="s">
        <v>56</v>
      </c>
      <c r="M13" s="3"/>
      <c r="N13" s="3"/>
      <c r="O13" s="49" t="s">
        <v>57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8" hidden="false" customHeight="true" outlineLevel="0" collapsed="false">
      <c r="A14" s="20" t="n">
        <v>15</v>
      </c>
      <c r="B14" s="21" t="s">
        <v>58</v>
      </c>
      <c r="C14" s="21"/>
      <c r="D14" s="39" t="n">
        <v>16</v>
      </c>
      <c r="E14" s="21" t="s">
        <v>59</v>
      </c>
      <c r="F14" s="40"/>
      <c r="G14" s="14"/>
      <c r="H14" s="41" t="s">
        <v>60</v>
      </c>
      <c r="I14" s="50"/>
      <c r="J14" s="38" t="n">
        <v>1.853184</v>
      </c>
      <c r="K14" s="3"/>
      <c r="L14" s="16" t="s">
        <v>61</v>
      </c>
      <c r="M14" s="3"/>
      <c r="N14" s="3"/>
      <c r="O14" s="3" t="str">
        <f aca="false">CHOOSE(MONTH(J75),O2,O3,O4,O5,O6,O7,O8,O9,O10,O11,O12,O13)</f>
        <v>Diciembre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8" hidden="false" customHeight="true" outlineLevel="0" collapsed="false">
      <c r="A15" s="20" t="n">
        <v>17</v>
      </c>
      <c r="B15" s="21" t="s">
        <v>62</v>
      </c>
      <c r="C15" s="51"/>
      <c r="D15" s="39" t="n">
        <v>18</v>
      </c>
      <c r="E15" s="21" t="s">
        <v>63</v>
      </c>
      <c r="F15" s="40"/>
      <c r="G15" s="14"/>
      <c r="H15" s="41" t="s">
        <v>44</v>
      </c>
      <c r="I15" s="52" t="n">
        <f aca="false">SUM(I17/60,H17)</f>
        <v>0</v>
      </c>
      <c r="J15" s="38" t="s">
        <v>64</v>
      </c>
      <c r="K15" s="3"/>
      <c r="L15" s="16" t="s">
        <v>65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8" hidden="false" customHeight="true" outlineLevel="0" collapsed="false">
      <c r="A16" s="20" t="n">
        <v>19</v>
      </c>
      <c r="B16" s="21" t="s">
        <v>66</v>
      </c>
      <c r="C16" s="21"/>
      <c r="D16" s="39" t="n">
        <v>20</v>
      </c>
      <c r="E16" s="21" t="s">
        <v>67</v>
      </c>
      <c r="F16" s="40"/>
      <c r="G16" s="14"/>
      <c r="H16" s="41" t="s">
        <v>68</v>
      </c>
      <c r="I16" s="53" t="s">
        <v>69</v>
      </c>
      <c r="J16" s="54" t="s">
        <v>70</v>
      </c>
      <c r="K16" s="3"/>
      <c r="L16" s="16" t="s">
        <v>71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8" hidden="false" customHeight="true" outlineLevel="0" collapsed="false">
      <c r="A17" s="20" t="n">
        <v>21</v>
      </c>
      <c r="B17" s="21" t="s">
        <v>72</v>
      </c>
      <c r="C17" s="21"/>
      <c r="D17" s="39" t="n">
        <v>22</v>
      </c>
      <c r="E17" s="21" t="s">
        <v>73</v>
      </c>
      <c r="F17" s="40"/>
      <c r="G17" s="14"/>
      <c r="H17" s="55" t="n">
        <v>0</v>
      </c>
      <c r="I17" s="56" t="n">
        <v>0</v>
      </c>
      <c r="J17" s="57" t="n">
        <v>0</v>
      </c>
      <c r="K17" s="3"/>
      <c r="L17" s="16" t="s">
        <v>74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8" hidden="false" customHeight="true" outlineLevel="0" collapsed="false">
      <c r="A18" s="20" t="n">
        <v>23</v>
      </c>
      <c r="B18" s="21" t="s">
        <v>75</v>
      </c>
      <c r="C18" s="21"/>
      <c r="D18" s="39" t="n">
        <v>24</v>
      </c>
      <c r="E18" s="21" t="s">
        <v>76</v>
      </c>
      <c r="F18" s="40"/>
      <c r="G18" s="14"/>
      <c r="H18" s="58"/>
      <c r="I18" s="58"/>
      <c r="J18" s="58"/>
      <c r="K18" s="3"/>
      <c r="L18" s="16" t="s">
        <v>77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8" hidden="false" customHeight="true" outlineLevel="0" collapsed="false">
      <c r="A19" s="20" t="n">
        <v>25</v>
      </c>
      <c r="B19" s="21" t="s">
        <v>33</v>
      </c>
      <c r="C19" s="21" t="n">
        <f aca="false">I10</f>
        <v>0</v>
      </c>
      <c r="D19" s="39" t="n">
        <v>26</v>
      </c>
      <c r="E19" s="21" t="s">
        <v>78</v>
      </c>
      <c r="F19" s="59"/>
      <c r="G19" s="14"/>
      <c r="H19" s="58"/>
      <c r="I19" s="58"/>
      <c r="J19" s="58"/>
      <c r="K19" s="3"/>
      <c r="L19" s="16" t="s">
        <v>79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8" hidden="false" customHeight="true" outlineLevel="0" collapsed="false">
      <c r="A20" s="27" t="n">
        <v>27</v>
      </c>
      <c r="B20" s="28" t="s">
        <v>80</v>
      </c>
      <c r="C20" s="60"/>
      <c r="D20" s="60"/>
      <c r="E20" s="60"/>
      <c r="F20" s="60"/>
      <c r="G20" s="14"/>
      <c r="H20" s="58"/>
      <c r="I20" s="58"/>
      <c r="J20" s="58"/>
      <c r="K20" s="3"/>
      <c r="L20" s="16" t="s">
        <v>81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24" hidden="false" customHeight="true" outlineLevel="0" collapsed="false">
      <c r="A21" s="30" t="s">
        <v>82</v>
      </c>
      <c r="B21" s="30"/>
      <c r="C21" s="30"/>
      <c r="D21" s="30"/>
      <c r="E21" s="30"/>
      <c r="F21" s="30"/>
      <c r="G21" s="14"/>
      <c r="H21" s="61" t="s">
        <v>83</v>
      </c>
      <c r="I21" s="62" t="s">
        <v>84</v>
      </c>
      <c r="J21" s="63"/>
      <c r="K21" s="3"/>
      <c r="L21" s="16" t="s">
        <v>85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8" hidden="false" customHeight="true" outlineLevel="0" collapsed="false">
      <c r="A22" s="17" t="n">
        <v>28</v>
      </c>
      <c r="B22" s="18" t="s">
        <v>86</v>
      </c>
      <c r="C22" s="64"/>
      <c r="D22" s="34" t="n">
        <v>29</v>
      </c>
      <c r="E22" s="18" t="s">
        <v>87</v>
      </c>
      <c r="F22" s="65"/>
      <c r="G22" s="14"/>
      <c r="H22" s="66"/>
      <c r="I22" s="62"/>
      <c r="J22" s="67"/>
      <c r="K22" s="3"/>
      <c r="L22" s="16" t="s">
        <v>88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8" hidden="false" customHeight="true" outlineLevel="0" collapsed="false">
      <c r="A23" s="20" t="n">
        <v>30</v>
      </c>
      <c r="B23" s="21" t="s">
        <v>89</v>
      </c>
      <c r="C23" s="68"/>
      <c r="D23" s="39" t="n">
        <v>31</v>
      </c>
      <c r="E23" s="21" t="s">
        <v>90</v>
      </c>
      <c r="F23" s="69"/>
      <c r="G23" s="14"/>
      <c r="H23" s="70"/>
      <c r="I23" s="71" t="s">
        <v>91</v>
      </c>
      <c r="J23" s="67"/>
      <c r="K23" s="3"/>
      <c r="L23" s="16" t="s">
        <v>92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8" hidden="false" customHeight="true" outlineLevel="0" collapsed="false">
      <c r="A24" s="20" t="n">
        <v>32</v>
      </c>
      <c r="B24" s="21" t="s">
        <v>93</v>
      </c>
      <c r="C24" s="68"/>
      <c r="D24" s="39" t="n">
        <v>33</v>
      </c>
      <c r="E24" s="21" t="s">
        <v>94</v>
      </c>
      <c r="F24" s="69"/>
      <c r="G24" s="14"/>
      <c r="H24" s="72" t="s">
        <v>44</v>
      </c>
      <c r="I24" s="73" t="n">
        <f aca="false">ROUND(IF(ISBLANK(I25), IF(ISBLANK(I26), IF(ISBLANK(I27), 0, I27*J27), I26*J26), I25),0)</f>
        <v>0</v>
      </c>
      <c r="J24" s="67"/>
      <c r="K24" s="3"/>
      <c r="L24" s="26" t="s">
        <v>95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8" hidden="false" customHeight="true" outlineLevel="0" collapsed="false">
      <c r="A25" s="20" t="n">
        <v>34</v>
      </c>
      <c r="B25" s="21" t="s">
        <v>96</v>
      </c>
      <c r="C25" s="68"/>
      <c r="D25" s="39" t="n">
        <v>35</v>
      </c>
      <c r="E25" s="21" t="s">
        <v>97</v>
      </c>
      <c r="F25" s="69"/>
      <c r="G25" s="14"/>
      <c r="H25" s="72" t="s">
        <v>98</v>
      </c>
      <c r="I25" s="45"/>
      <c r="J25" s="67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8" hidden="false" customHeight="true" outlineLevel="0" collapsed="false">
      <c r="A26" s="20" t="n">
        <v>36</v>
      </c>
      <c r="B26" s="21" t="s">
        <v>99</v>
      </c>
      <c r="C26" s="21"/>
      <c r="D26" s="39" t="n">
        <v>37</v>
      </c>
      <c r="E26" s="21" t="s">
        <v>100</v>
      </c>
      <c r="F26" s="40"/>
      <c r="G26" s="14"/>
      <c r="H26" s="72" t="s">
        <v>101</v>
      </c>
      <c r="I26" s="48"/>
      <c r="J26" s="38" t="n">
        <v>0.7456999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8" hidden="false" customHeight="true" outlineLevel="0" collapsed="false">
      <c r="A27" s="20" t="n">
        <v>38</v>
      </c>
      <c r="B27" s="21" t="s">
        <v>102</v>
      </c>
      <c r="C27" s="21"/>
      <c r="D27" s="39" t="n">
        <v>39</v>
      </c>
      <c r="E27" s="21" t="s">
        <v>103</v>
      </c>
      <c r="F27" s="40"/>
      <c r="G27" s="14"/>
      <c r="H27" s="72" t="s">
        <v>104</v>
      </c>
      <c r="I27" s="50"/>
      <c r="J27" s="38" t="n">
        <v>0.735498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36" hidden="false" customHeight="true" outlineLevel="0" collapsed="false">
      <c r="A28" s="20" t="n">
        <v>40</v>
      </c>
      <c r="B28" s="21" t="s">
        <v>105</v>
      </c>
      <c r="C28" s="21"/>
      <c r="D28" s="39" t="n">
        <v>41</v>
      </c>
      <c r="E28" s="21" t="s">
        <v>106</v>
      </c>
      <c r="F28" s="40"/>
      <c r="G28" s="14"/>
      <c r="H28" s="72" t="s">
        <v>107</v>
      </c>
      <c r="I28" s="74" t="b">
        <v>1</v>
      </c>
      <c r="J28" s="67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36" hidden="false" customHeight="true" outlineLevel="0" collapsed="false">
      <c r="A29" s="20" t="n">
        <v>42</v>
      </c>
      <c r="B29" s="21" t="s">
        <v>108</v>
      </c>
      <c r="C29" s="21"/>
      <c r="D29" s="39" t="n">
        <v>43</v>
      </c>
      <c r="E29" s="21" t="s">
        <v>109</v>
      </c>
      <c r="F29" s="40"/>
      <c r="G29" s="14"/>
      <c r="H29" s="75" t="s">
        <v>110</v>
      </c>
      <c r="I29" s="75"/>
      <c r="J29" s="75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36" hidden="false" customHeight="true" outlineLevel="0" collapsed="false">
      <c r="A30" s="20" t="n">
        <v>44</v>
      </c>
      <c r="B30" s="21" t="s">
        <v>111</v>
      </c>
      <c r="C30" s="21"/>
      <c r="D30" s="39" t="n">
        <v>45</v>
      </c>
      <c r="E30" s="21" t="s">
        <v>112</v>
      </c>
      <c r="F30" s="76" t="str">
        <f aca="false">IF(I28,"NO CORRESPONDE",I24*1000/(F26+IF(ISNUMBER(C31),C31*1000,0)))</f>
        <v>NO CORRESPONDE</v>
      </c>
      <c r="G30" s="14"/>
      <c r="H30" s="14"/>
      <c r="I30" s="75"/>
      <c r="J30" s="75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8" hidden="false" customHeight="true" outlineLevel="0" collapsed="false">
      <c r="A31" s="27" t="n">
        <v>46</v>
      </c>
      <c r="B31" s="28" t="s">
        <v>113</v>
      </c>
      <c r="C31" s="28"/>
      <c r="D31" s="77"/>
      <c r="E31" s="77"/>
      <c r="F31" s="77"/>
      <c r="G31" s="14"/>
      <c r="H31" s="14"/>
      <c r="I31" s="75"/>
      <c r="J31" s="75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24" hidden="false" customHeight="true" outlineLevel="0" collapsed="false">
      <c r="A32" s="30" t="s">
        <v>114</v>
      </c>
      <c r="B32" s="30"/>
      <c r="C32" s="30"/>
      <c r="D32" s="30"/>
      <c r="E32" s="30"/>
      <c r="F32" s="30"/>
      <c r="G32" s="14"/>
      <c r="H32" s="14"/>
      <c r="I32" s="75"/>
      <c r="J32" s="75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8" hidden="false" customHeight="true" outlineLevel="0" collapsed="false">
      <c r="A33" s="17" t="n">
        <v>47</v>
      </c>
      <c r="B33" s="18" t="s">
        <v>115</v>
      </c>
      <c r="C33" s="78"/>
      <c r="D33" s="78"/>
      <c r="E33" s="78"/>
      <c r="F33" s="78"/>
      <c r="G33" s="14"/>
      <c r="H33" s="14"/>
      <c r="I33" s="75"/>
      <c r="J33" s="75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8" hidden="false" customHeight="true" outlineLevel="0" collapsed="false">
      <c r="A34" s="20" t="n">
        <v>48</v>
      </c>
      <c r="B34" s="21" t="s">
        <v>116</v>
      </c>
      <c r="C34" s="40"/>
      <c r="D34" s="40"/>
      <c r="E34" s="40"/>
      <c r="F34" s="40"/>
      <c r="G34" s="14"/>
      <c r="H34" s="14"/>
      <c r="I34" s="75"/>
      <c r="J34" s="75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8" hidden="false" customHeight="true" outlineLevel="0" collapsed="false">
      <c r="A35" s="20" t="n">
        <v>49</v>
      </c>
      <c r="B35" s="21" t="s">
        <v>117</v>
      </c>
      <c r="C35" s="21"/>
      <c r="D35" s="39" t="n">
        <v>50</v>
      </c>
      <c r="E35" s="21" t="s">
        <v>118</v>
      </c>
      <c r="F35" s="40"/>
      <c r="G35" s="14"/>
      <c r="H35" s="14"/>
      <c r="I35" s="75"/>
      <c r="J35" s="75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8" hidden="false" customHeight="true" outlineLevel="0" collapsed="false">
      <c r="A36" s="20" t="n">
        <v>51</v>
      </c>
      <c r="B36" s="21" t="s">
        <v>119</v>
      </c>
      <c r="C36" s="21"/>
      <c r="D36" s="39" t="n">
        <v>52</v>
      </c>
      <c r="E36" s="21" t="s">
        <v>120</v>
      </c>
      <c r="F36" s="40"/>
      <c r="G36" s="14"/>
      <c r="H36" s="79"/>
      <c r="I36" s="79"/>
      <c r="J36" s="79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8" hidden="false" customHeight="true" outlineLevel="0" collapsed="false">
      <c r="A37" s="20" t="n">
        <v>53</v>
      </c>
      <c r="B37" s="21" t="s">
        <v>121</v>
      </c>
      <c r="C37" s="40"/>
      <c r="D37" s="40"/>
      <c r="E37" s="40"/>
      <c r="F37" s="40"/>
      <c r="G37" s="14"/>
      <c r="H37" s="58"/>
      <c r="I37" s="58"/>
      <c r="J37" s="58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8" hidden="false" customHeight="true" outlineLevel="0" collapsed="false">
      <c r="A38" s="20" t="n">
        <v>54</v>
      </c>
      <c r="B38" s="21" t="s">
        <v>122</v>
      </c>
      <c r="C38" s="80"/>
      <c r="D38" s="80"/>
      <c r="E38" s="80"/>
      <c r="F38" s="80"/>
      <c r="G38" s="14"/>
      <c r="H38" s="58"/>
      <c r="I38" s="58"/>
      <c r="J38" s="58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8" hidden="false" customHeight="true" outlineLevel="0" collapsed="false">
      <c r="A39" s="20" t="n">
        <v>55</v>
      </c>
      <c r="B39" s="21" t="s">
        <v>123</v>
      </c>
      <c r="C39" s="21"/>
      <c r="D39" s="39" t="n">
        <v>56</v>
      </c>
      <c r="E39" s="21" t="s">
        <v>124</v>
      </c>
      <c r="F39" s="40"/>
      <c r="G39" s="14"/>
      <c r="H39" s="58"/>
      <c r="I39" s="58"/>
      <c r="J39" s="58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8" hidden="false" customHeight="true" outlineLevel="0" collapsed="false">
      <c r="A40" s="20" t="n">
        <v>57</v>
      </c>
      <c r="B40" s="21" t="s">
        <v>125</v>
      </c>
      <c r="C40" s="21"/>
      <c r="D40" s="39" t="n">
        <v>58</v>
      </c>
      <c r="E40" s="21" t="s">
        <v>126</v>
      </c>
      <c r="F40" s="40"/>
      <c r="G40" s="14"/>
      <c r="H40" s="58"/>
      <c r="I40" s="58"/>
      <c r="J40" s="58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36" hidden="false" customHeight="true" outlineLevel="0" collapsed="false">
      <c r="A41" s="20" t="n">
        <v>59</v>
      </c>
      <c r="B41" s="21" t="s">
        <v>127</v>
      </c>
      <c r="C41" s="81"/>
      <c r="D41" s="39" t="n">
        <v>60</v>
      </c>
      <c r="E41" s="21" t="s">
        <v>128</v>
      </c>
      <c r="F41" s="40"/>
      <c r="G41" s="14"/>
      <c r="H41" s="58"/>
      <c r="I41" s="58"/>
      <c r="J41" s="58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36" hidden="false" customHeight="true" outlineLevel="0" collapsed="false">
      <c r="A42" s="27" t="n">
        <v>61</v>
      </c>
      <c r="B42" s="28" t="s">
        <v>129</v>
      </c>
      <c r="C42" s="82" t="str">
        <f aca="false">IF(ISNUMBER(I43),ROUND(I43,0),I43)</f>
        <v>NO CORRESPONDE</v>
      </c>
      <c r="D42" s="83" t="n">
        <v>62</v>
      </c>
      <c r="E42" s="28" t="s">
        <v>130</v>
      </c>
      <c r="F42" s="84"/>
      <c r="G42" s="14"/>
      <c r="H42" s="85" t="s">
        <v>131</v>
      </c>
      <c r="I42" s="85"/>
      <c r="J42" s="86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24" hidden="false" customHeight="true" outlineLevel="0" collapsed="false">
      <c r="A43" s="30" t="s">
        <v>132</v>
      </c>
      <c r="B43" s="30"/>
      <c r="C43" s="30"/>
      <c r="D43" s="30"/>
      <c r="E43" s="30"/>
      <c r="F43" s="30"/>
      <c r="G43" s="14"/>
      <c r="H43" s="72" t="s">
        <v>44</v>
      </c>
      <c r="I43" s="87" t="str">
        <f aca="false">IF(ISBLANK(I44), IF(ISBLANK(I45), IF(ISBLANK(I46), "NO CORRESPONDE", I46*J46), I45*J45), I44)</f>
        <v>NO CORRESPONDE</v>
      </c>
      <c r="J43" s="86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8" hidden="false" customHeight="true" outlineLevel="0" collapsed="false">
      <c r="A44" s="17" t="n">
        <v>63</v>
      </c>
      <c r="B44" s="18" t="s">
        <v>133</v>
      </c>
      <c r="C44" s="18"/>
      <c r="D44" s="34" t="n">
        <v>64</v>
      </c>
      <c r="E44" s="18" t="s">
        <v>134</v>
      </c>
      <c r="F44" s="35"/>
      <c r="G44" s="14"/>
      <c r="H44" s="72" t="s">
        <v>135</v>
      </c>
      <c r="I44" s="45"/>
      <c r="J44" s="86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8" hidden="false" customHeight="true" outlineLevel="0" collapsed="false">
      <c r="A45" s="20" t="n">
        <v>65</v>
      </c>
      <c r="B45" s="21" t="s">
        <v>136</v>
      </c>
      <c r="C45" s="21"/>
      <c r="D45" s="39" t="n">
        <v>66</v>
      </c>
      <c r="E45" s="21" t="s">
        <v>137</v>
      </c>
      <c r="F45" s="40"/>
      <c r="G45" s="14"/>
      <c r="H45" s="72" t="s">
        <v>138</v>
      </c>
      <c r="I45" s="48"/>
      <c r="J45" s="38" t="n">
        <v>3.785412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8" hidden="false" customHeight="true" outlineLevel="0" collapsed="false">
      <c r="A46" s="20" t="n">
        <v>67</v>
      </c>
      <c r="B46" s="21" t="s">
        <v>139</v>
      </c>
      <c r="C46" s="21" t="n">
        <f aca="false">I49</f>
        <v>0</v>
      </c>
      <c r="D46" s="39" t="n">
        <v>68</v>
      </c>
      <c r="E46" s="21" t="s">
        <v>140</v>
      </c>
      <c r="F46" s="40"/>
      <c r="G46" s="14"/>
      <c r="H46" s="88" t="s">
        <v>141</v>
      </c>
      <c r="I46" s="89"/>
      <c r="J46" s="90" t="n">
        <v>4.546092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8" hidden="false" customHeight="true" outlineLevel="0" collapsed="false">
      <c r="A47" s="20" t="n">
        <v>69</v>
      </c>
      <c r="B47" s="21" t="s">
        <v>142</v>
      </c>
      <c r="C47" s="21"/>
      <c r="D47" s="39" t="n">
        <v>70</v>
      </c>
      <c r="E47" s="21" t="s">
        <v>143</v>
      </c>
      <c r="F47" s="40" t="str">
        <f aca="false">IF(ISNUMBER(H22), I24 &amp; " kW. @ " &amp; H22 &amp; " rpm", "NO CORRESPONDE")</f>
        <v>NO CORRESPONDE</v>
      </c>
      <c r="G47" s="14"/>
      <c r="H47" s="91"/>
      <c r="I47" s="91"/>
      <c r="J47" s="91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8" hidden="false" customHeight="true" outlineLevel="0" collapsed="false">
      <c r="A48" s="92" t="n">
        <v>71</v>
      </c>
      <c r="B48" s="93" t="s">
        <v>144</v>
      </c>
      <c r="C48" s="93"/>
      <c r="D48" s="94" t="n">
        <v>72</v>
      </c>
      <c r="E48" s="95" t="s">
        <v>145</v>
      </c>
      <c r="F48" s="60"/>
      <c r="G48" s="14"/>
      <c r="H48" s="61" t="s">
        <v>146</v>
      </c>
      <c r="I48" s="96"/>
      <c r="J48" s="97" t="b"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24" hidden="false" customHeight="true" outlineLevel="0" collapsed="false">
      <c r="A49" s="30" t="s">
        <v>147</v>
      </c>
      <c r="B49" s="30"/>
      <c r="C49" s="30"/>
      <c r="D49" s="30"/>
      <c r="E49" s="30"/>
      <c r="F49" s="30"/>
      <c r="G49" s="14"/>
      <c r="H49" s="72" t="s">
        <v>44</v>
      </c>
      <c r="I49" s="87" t="n">
        <f aca="false">IF(J48, "NO CORRESPONDE", SUM(J50:J52))</f>
        <v>0</v>
      </c>
      <c r="J49" s="38" t="s">
        <v>148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8" hidden="false" customHeight="true" outlineLevel="0" collapsed="false">
      <c r="A50" s="17" t="n">
        <v>73</v>
      </c>
      <c r="B50" s="18" t="s">
        <v>149</v>
      </c>
      <c r="C50" s="18"/>
      <c r="D50" s="98" t="n">
        <v>74</v>
      </c>
      <c r="E50" s="98" t="s">
        <v>150</v>
      </c>
      <c r="F50" s="35"/>
      <c r="G50" s="14"/>
      <c r="H50" s="72" t="s">
        <v>151</v>
      </c>
      <c r="I50" s="45"/>
      <c r="J50" s="38" t="n">
        <f aca="false">I50*1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8" hidden="false" customHeight="true" outlineLevel="0" collapsed="false">
      <c r="A51" s="20" t="n">
        <v>75</v>
      </c>
      <c r="B51" s="21" t="s">
        <v>152</v>
      </c>
      <c r="C51" s="21"/>
      <c r="D51" s="39" t="n">
        <v>76</v>
      </c>
      <c r="E51" s="21" t="s">
        <v>153</v>
      </c>
      <c r="F51" s="99"/>
      <c r="G51" s="14"/>
      <c r="H51" s="72" t="s">
        <v>154</v>
      </c>
      <c r="I51" s="48"/>
      <c r="J51" s="38" t="n">
        <f aca="false">I51*1000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8" hidden="false" customHeight="true" outlineLevel="0" collapsed="false">
      <c r="A52" s="20" t="n">
        <v>77</v>
      </c>
      <c r="B52" s="21" t="s">
        <v>155</v>
      </c>
      <c r="C52" s="100"/>
      <c r="D52" s="39" t="n">
        <v>78</v>
      </c>
      <c r="E52" s="21" t="s">
        <v>156</v>
      </c>
      <c r="F52" s="99" t="str">
        <f aca="false">IF(AND(ISNUMBER(F51), ISNUMBER(C52)), SUM(F51,C52), "NO CORRESPONDE")</f>
        <v>NO CORRESPONDE</v>
      </c>
      <c r="G52" s="14"/>
      <c r="H52" s="88" t="s">
        <v>157</v>
      </c>
      <c r="I52" s="50"/>
      <c r="J52" s="90" t="n">
        <f aca="false">I52*16.3871</f>
        <v>0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8" hidden="false" customHeight="true" outlineLevel="0" collapsed="false">
      <c r="A53" s="20" t="n">
        <v>79</v>
      </c>
      <c r="B53" s="21" t="s">
        <v>158</v>
      </c>
      <c r="C53" s="100"/>
      <c r="D53" s="39" t="n">
        <v>80</v>
      </c>
      <c r="E53" s="21" t="s">
        <v>159</v>
      </c>
      <c r="F53" s="76"/>
      <c r="G53" s="14"/>
      <c r="H53" s="101"/>
      <c r="I53" s="101"/>
      <c r="J53" s="101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8" hidden="false" customHeight="true" outlineLevel="0" collapsed="false">
      <c r="A54" s="27" t="n">
        <v>81</v>
      </c>
      <c r="B54" s="28" t="s">
        <v>160</v>
      </c>
      <c r="C54" s="60"/>
      <c r="D54" s="60"/>
      <c r="E54" s="60"/>
      <c r="F54" s="60"/>
      <c r="G54" s="14"/>
      <c r="H54" s="101"/>
      <c r="I54" s="101"/>
      <c r="J54" s="101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24" hidden="false" customHeight="true" outlineLevel="0" collapsed="false">
      <c r="A55" s="30" t="s">
        <v>161</v>
      </c>
      <c r="B55" s="30"/>
      <c r="C55" s="30"/>
      <c r="D55" s="30"/>
      <c r="E55" s="30"/>
      <c r="F55" s="30"/>
      <c r="G55" s="14"/>
      <c r="H55" s="101"/>
      <c r="I55" s="101"/>
      <c r="J55" s="101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8" hidden="false" customHeight="true" outlineLevel="0" collapsed="false">
      <c r="A56" s="17" t="n">
        <v>82</v>
      </c>
      <c r="B56" s="18" t="s">
        <v>162</v>
      </c>
      <c r="C56" s="18"/>
      <c r="D56" s="34" t="n">
        <v>83</v>
      </c>
      <c r="E56" s="18" t="s">
        <v>163</v>
      </c>
      <c r="F56" s="35"/>
      <c r="G56" s="14"/>
      <c r="H56" s="101"/>
      <c r="I56" s="101"/>
      <c r="J56" s="101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8" hidden="false" customHeight="true" outlineLevel="0" collapsed="false">
      <c r="A57" s="27" t="n">
        <v>84</v>
      </c>
      <c r="B57" s="28" t="s">
        <v>164</v>
      </c>
      <c r="C57" s="28"/>
      <c r="D57" s="83" t="n">
        <v>85</v>
      </c>
      <c r="E57" s="28" t="s">
        <v>165</v>
      </c>
      <c r="F57" s="84"/>
      <c r="G57" s="14"/>
      <c r="H57" s="101"/>
      <c r="I57" s="101"/>
      <c r="J57" s="101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24" hidden="false" customHeight="true" outlineLevel="0" collapsed="false">
      <c r="A58" s="30" t="s">
        <v>166</v>
      </c>
      <c r="B58" s="30"/>
      <c r="C58" s="30"/>
      <c r="D58" s="30"/>
      <c r="E58" s="30"/>
      <c r="F58" s="30"/>
      <c r="G58" s="14"/>
      <c r="H58" s="101"/>
      <c r="I58" s="101"/>
      <c r="J58" s="101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8" hidden="false" customHeight="true" outlineLevel="0" collapsed="false">
      <c r="A59" s="17" t="n">
        <v>86</v>
      </c>
      <c r="B59" s="18" t="s">
        <v>167</v>
      </c>
      <c r="C59" s="78"/>
      <c r="D59" s="78"/>
      <c r="E59" s="78"/>
      <c r="F59" s="78"/>
      <c r="G59" s="14"/>
      <c r="H59" s="101"/>
      <c r="I59" s="101"/>
      <c r="J59" s="101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27" hidden="false" customHeight="true" outlineLevel="0" collapsed="false">
      <c r="A60" s="20" t="n">
        <v>87</v>
      </c>
      <c r="B60" s="21" t="s">
        <v>168</v>
      </c>
      <c r="C60" s="21"/>
      <c r="D60" s="39" t="n">
        <v>88</v>
      </c>
      <c r="E60" s="21" t="s">
        <v>169</v>
      </c>
      <c r="F60" s="40"/>
      <c r="G60" s="14"/>
      <c r="H60" s="101"/>
      <c r="I60" s="101"/>
      <c r="J60" s="101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8" hidden="false" customHeight="true" outlineLevel="0" collapsed="false">
      <c r="A61" s="20" t="n">
        <v>89</v>
      </c>
      <c r="B61" s="21" t="s">
        <v>170</v>
      </c>
      <c r="C61" s="21"/>
      <c r="D61" s="39" t="n">
        <v>90</v>
      </c>
      <c r="E61" s="21" t="s">
        <v>171</v>
      </c>
      <c r="F61" s="40"/>
      <c r="G61" s="14"/>
      <c r="H61" s="101"/>
      <c r="I61" s="101"/>
      <c r="J61" s="101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8" hidden="false" customHeight="true" outlineLevel="0" collapsed="false">
      <c r="A62" s="20" t="n">
        <v>91</v>
      </c>
      <c r="B62" s="21" t="s">
        <v>172</v>
      </c>
      <c r="C62" s="21"/>
      <c r="D62" s="39" t="n">
        <v>92</v>
      </c>
      <c r="E62" s="21" t="s">
        <v>173</v>
      </c>
      <c r="F62" s="40"/>
      <c r="G62" s="14"/>
      <c r="H62" s="101"/>
      <c r="I62" s="101"/>
      <c r="J62" s="101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8" hidden="false" customHeight="true" outlineLevel="0" collapsed="false">
      <c r="A63" s="20" t="n">
        <v>93</v>
      </c>
      <c r="B63" s="21" t="s">
        <v>174</v>
      </c>
      <c r="C63" s="21"/>
      <c r="D63" s="39" t="n">
        <v>94</v>
      </c>
      <c r="E63" s="21" t="s">
        <v>175</v>
      </c>
      <c r="F63" s="40"/>
      <c r="G63" s="14"/>
      <c r="H63" s="101"/>
      <c r="I63" s="101"/>
      <c r="J63" s="101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8" hidden="false" customHeight="true" outlineLevel="0" collapsed="false">
      <c r="A64" s="20" t="n">
        <v>95</v>
      </c>
      <c r="B64" s="21" t="s">
        <v>176</v>
      </c>
      <c r="C64" s="21"/>
      <c r="D64" s="39" t="n">
        <v>96</v>
      </c>
      <c r="E64" s="21" t="s">
        <v>177</v>
      </c>
      <c r="F64" s="40"/>
      <c r="G64" s="14"/>
      <c r="H64" s="101"/>
      <c r="I64" s="101"/>
      <c r="J64" s="101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8" hidden="false" customHeight="true" outlineLevel="0" collapsed="false">
      <c r="A65" s="27" t="n">
        <v>97</v>
      </c>
      <c r="B65" s="28" t="s">
        <v>178</v>
      </c>
      <c r="C65" s="60"/>
      <c r="D65" s="60"/>
      <c r="E65" s="60"/>
      <c r="F65" s="60"/>
      <c r="G65" s="14"/>
      <c r="H65" s="101"/>
      <c r="I65" s="101"/>
      <c r="J65" s="101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24" hidden="false" customHeight="true" outlineLevel="0" collapsed="false">
      <c r="A66" s="30" t="s">
        <v>179</v>
      </c>
      <c r="B66" s="30"/>
      <c r="C66" s="30"/>
      <c r="D66" s="30"/>
      <c r="E66" s="30"/>
      <c r="F66" s="30"/>
      <c r="G66" s="14"/>
      <c r="H66" s="101"/>
      <c r="I66" s="101"/>
      <c r="J66" s="101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2.75" hidden="false" customHeight="true" outlineLevel="0" collapsed="false">
      <c r="A67" s="17" t="n">
        <v>98</v>
      </c>
      <c r="B67" s="18" t="s">
        <v>180</v>
      </c>
      <c r="C67" s="18" t="s">
        <v>181</v>
      </c>
      <c r="D67" s="34" t="n">
        <v>99</v>
      </c>
      <c r="E67" s="18" t="s">
        <v>182</v>
      </c>
      <c r="F67" s="35" t="s">
        <v>181</v>
      </c>
      <c r="G67" s="14"/>
      <c r="H67" s="101"/>
      <c r="I67" s="101"/>
      <c r="J67" s="101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2.75" hidden="false" customHeight="true" outlineLevel="0" collapsed="false">
      <c r="A68" s="20" t="n">
        <v>100</v>
      </c>
      <c r="B68" s="21" t="s">
        <v>183</v>
      </c>
      <c r="C68" s="21" t="s">
        <v>181</v>
      </c>
      <c r="D68" s="39" t="n">
        <v>101</v>
      </c>
      <c r="E68" s="21" t="s">
        <v>184</v>
      </c>
      <c r="F68" s="40" t="s">
        <v>181</v>
      </c>
      <c r="G68" s="14"/>
      <c r="H68" s="101"/>
      <c r="I68" s="101"/>
      <c r="J68" s="101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2.75" hidden="false" customHeight="true" outlineLevel="0" collapsed="false">
      <c r="A69" s="20" t="n">
        <v>102</v>
      </c>
      <c r="B69" s="21" t="s">
        <v>185</v>
      </c>
      <c r="C69" s="102" t="s">
        <v>181</v>
      </c>
      <c r="D69" s="102"/>
      <c r="E69" s="102"/>
      <c r="F69" s="102"/>
      <c r="G69" s="14"/>
      <c r="H69" s="101"/>
      <c r="I69" s="101"/>
      <c r="J69" s="101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50.25" hidden="false" customHeight="true" outlineLevel="0" collapsed="false">
      <c r="A70" s="27" t="n">
        <v>103</v>
      </c>
      <c r="B70" s="28" t="s">
        <v>186</v>
      </c>
      <c r="C70" s="103" t="s">
        <v>181</v>
      </c>
      <c r="D70" s="103"/>
      <c r="E70" s="103"/>
      <c r="F70" s="103"/>
      <c r="G70" s="14"/>
      <c r="H70" s="101"/>
      <c r="I70" s="101"/>
      <c r="J70" s="101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24" hidden="false" customHeight="true" outlineLevel="0" collapsed="false">
      <c r="A71" s="30" t="s">
        <v>187</v>
      </c>
      <c r="B71" s="30"/>
      <c r="C71" s="30"/>
      <c r="D71" s="30"/>
      <c r="E71" s="30"/>
      <c r="F71" s="30"/>
      <c r="G71" s="14"/>
      <c r="H71" s="101"/>
      <c r="I71" s="101"/>
      <c r="J71" s="101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30" hidden="false" customHeight="true" outlineLevel="0" collapsed="false">
      <c r="A72" s="104" t="s">
        <v>188</v>
      </c>
      <c r="B72" s="104"/>
      <c r="C72" s="104"/>
      <c r="D72" s="104"/>
      <c r="E72" s="104"/>
      <c r="F72" s="104"/>
      <c r="G72" s="14"/>
      <c r="H72" s="101"/>
      <c r="I72" s="101"/>
      <c r="J72" s="101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90.5" hidden="false" customHeight="true" outlineLevel="0" collapsed="false">
      <c r="A73" s="20" t="n">
        <v>104</v>
      </c>
      <c r="B73" s="105" t="s">
        <v>189</v>
      </c>
      <c r="C73" s="102"/>
      <c r="D73" s="102"/>
      <c r="E73" s="102"/>
      <c r="F73" s="102"/>
      <c r="G73" s="14"/>
      <c r="H73" s="101"/>
      <c r="I73" s="101"/>
      <c r="J73" s="101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225" hidden="false" customHeight="true" outlineLevel="0" collapsed="false">
      <c r="A74" s="27" t="n">
        <v>105</v>
      </c>
      <c r="B74" s="106" t="s">
        <v>190</v>
      </c>
      <c r="C74" s="77"/>
      <c r="D74" s="77"/>
      <c r="E74" s="77"/>
      <c r="F74" s="77"/>
      <c r="G74" s="14"/>
      <c r="H74" s="101"/>
      <c r="I74" s="101"/>
      <c r="J74" s="101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8" hidden="false" customHeight="true" outlineLevel="0" collapsed="false">
      <c r="A75" s="5" t="n">
        <v>106</v>
      </c>
      <c r="B75" s="6" t="s">
        <v>191</v>
      </c>
      <c r="C75" s="107" t="str">
        <f aca="false">CONCATENATE(H75, ", ", TEXT(DAY(J75), "00"), " de ", O14, " de ", TEXT(YEAR(J75), "0000"), ".")</f>
        <v>, 30 de Diciembre de 1899.</v>
      </c>
      <c r="D75" s="107"/>
      <c r="E75" s="107"/>
      <c r="F75" s="107"/>
      <c r="G75" s="108" t="s">
        <v>192</v>
      </c>
      <c r="H75" s="109"/>
      <c r="I75" s="110" t="s">
        <v>193</v>
      </c>
      <c r="J75" s="111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true" outlineLevel="0" collapsed="false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customFormat="false" ht="12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2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2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2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2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2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2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2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2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2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2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2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2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2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2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2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2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2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2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2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2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2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2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2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2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2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2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2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2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2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2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2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2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2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2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2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2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2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2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2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2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2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2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2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2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2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2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2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2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2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2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2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2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2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2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2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2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2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2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2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2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2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2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2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2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2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2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2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2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2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2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2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2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2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2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2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2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2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2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2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2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2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2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2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2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2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2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2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2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2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2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2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2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2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2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2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2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2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2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2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2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2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2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2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2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2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2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2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2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2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2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2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2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2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2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2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2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2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2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2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2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2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2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2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2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2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2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2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2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2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2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2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2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2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2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2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2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2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2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2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2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2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2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2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2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2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2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2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2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2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2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2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2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2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2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2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2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2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2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2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2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2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2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2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2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2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2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2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2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2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2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2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2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2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2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2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2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2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2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2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2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2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2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2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2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2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2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2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2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2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2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2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2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2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2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2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2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2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2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2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2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2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2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2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2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2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2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2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2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2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2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2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2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2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2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2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2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2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2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2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2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2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2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2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2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2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2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2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2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2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2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2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2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2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2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2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2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2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2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2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2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2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2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2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2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2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2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2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2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2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2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2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2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2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2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2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2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2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2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2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2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2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2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2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2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2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2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2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2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2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2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2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2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2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2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2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2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2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2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2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2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2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2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2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2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2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2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2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2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2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2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2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2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2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2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2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2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2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2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2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2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2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2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2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2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2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2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2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2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2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2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2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2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2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2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2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2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2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2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2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2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2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2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2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2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2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2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2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2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2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2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2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2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2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2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2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2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2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2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2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2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2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2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2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2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2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2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2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2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2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2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2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2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2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2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2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2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2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2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2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2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2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2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2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2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2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2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2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2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2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2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2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2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2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2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2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2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2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2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2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2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2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2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2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2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2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2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2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2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2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2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2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2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2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2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2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2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2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2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2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2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2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2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2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2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2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2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2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2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2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2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2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2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2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2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2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2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2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2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2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2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2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2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2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2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2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2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2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2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2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2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2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2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2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2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2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2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2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2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2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2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2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2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2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2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2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2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2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2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2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2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2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2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2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2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2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2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2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2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2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2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2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2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2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2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2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2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2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2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2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2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2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2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2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2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2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2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2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2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2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2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2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2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2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2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2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2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2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2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2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2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2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2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2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2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2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2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2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2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2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2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2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2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2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2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2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2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2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2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2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2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2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2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2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2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2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2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2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2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2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2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2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2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2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2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2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2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2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2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2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2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2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2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2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2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2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2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2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2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2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2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2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2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2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2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2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2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2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2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2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2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2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2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2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2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2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2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2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2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2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2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2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2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2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2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2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2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2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2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2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2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2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2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2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2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2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2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2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2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2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2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2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2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2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2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2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2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2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2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2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2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2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2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2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2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2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2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2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2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2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2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2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2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2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2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2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2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2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2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2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2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2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2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2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2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2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2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2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2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2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2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2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2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2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2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2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2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2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2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2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2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2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2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2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2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2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2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2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2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2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2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2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2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2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2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2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2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2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2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2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2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2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2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2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2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2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2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2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2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2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2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2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2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2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2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2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2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2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2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2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2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2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2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2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2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2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2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2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2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2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2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2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2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2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2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2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2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2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2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2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2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2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2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2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2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2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2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2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2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2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2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2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2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2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2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2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2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2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2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2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2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2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2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2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2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2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2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2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2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2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2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2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2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2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2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2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2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2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2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2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2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2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2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2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2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2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2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2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2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2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2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2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2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2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2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2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2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2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2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2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2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2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2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2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2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2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2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2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2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2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2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2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2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2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2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2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2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2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2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2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2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2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2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2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2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2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2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2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2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2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2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2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2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2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2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2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2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2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2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2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2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2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2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2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2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2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2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2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2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2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2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2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2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2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2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2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2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2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2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2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2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2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2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2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2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2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2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2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2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2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2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2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2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2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2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2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2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2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2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2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2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2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2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2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2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2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2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2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2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2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2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2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2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2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2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2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2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2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2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2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2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2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2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2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2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2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2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2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2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2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2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2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2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2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2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2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2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2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2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2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2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2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2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2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2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2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2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2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2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2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2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2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2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2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2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2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2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2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2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2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2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2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2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2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2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2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2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2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2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2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2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2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2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2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2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2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2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2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2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2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2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2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2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2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2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2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2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2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2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2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2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2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2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2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1">
    <mergeCell ref="A1:F1"/>
    <mergeCell ref="G1:J2"/>
    <mergeCell ref="D2:E2"/>
    <mergeCell ref="A3:F3"/>
    <mergeCell ref="G3:G74"/>
    <mergeCell ref="H3:J5"/>
    <mergeCell ref="B4:C4"/>
    <mergeCell ref="D4:F4"/>
    <mergeCell ref="B5:C5"/>
    <mergeCell ref="D5:F5"/>
    <mergeCell ref="B6:C6"/>
    <mergeCell ref="D6:F6"/>
    <mergeCell ref="I6:J6"/>
    <mergeCell ref="B7:C7"/>
    <mergeCell ref="D7:F7"/>
    <mergeCell ref="H7:J8"/>
    <mergeCell ref="B8:C8"/>
    <mergeCell ref="D8:F8"/>
    <mergeCell ref="A9:F9"/>
    <mergeCell ref="H18:J20"/>
    <mergeCell ref="C20:F20"/>
    <mergeCell ref="A21:F21"/>
    <mergeCell ref="I21:I22"/>
    <mergeCell ref="H29:J35"/>
    <mergeCell ref="D31:F31"/>
    <mergeCell ref="A32:F32"/>
    <mergeCell ref="C33:F33"/>
    <mergeCell ref="C34:F34"/>
    <mergeCell ref="H36:J36"/>
    <mergeCell ref="C37:F37"/>
    <mergeCell ref="H37:J41"/>
    <mergeCell ref="C38:F38"/>
    <mergeCell ref="H42:I42"/>
    <mergeCell ref="J42:J44"/>
    <mergeCell ref="A43:F43"/>
    <mergeCell ref="A49:F49"/>
    <mergeCell ref="H53:J74"/>
    <mergeCell ref="C54:F54"/>
    <mergeCell ref="A55:F55"/>
    <mergeCell ref="A58:F58"/>
    <mergeCell ref="C59:F59"/>
    <mergeCell ref="C65:F65"/>
    <mergeCell ref="A66:F66"/>
    <mergeCell ref="C69:F69"/>
    <mergeCell ref="C70:F70"/>
    <mergeCell ref="A71:F71"/>
    <mergeCell ref="A72:F72"/>
    <mergeCell ref="C73:F73"/>
    <mergeCell ref="C74:F74"/>
    <mergeCell ref="C75:F75"/>
    <mergeCell ref="A76:J76"/>
  </mergeCells>
  <dataValidations count="6">
    <dataValidation allowBlank="true" errorStyle="stop" operator="equal" prompt="Combustible Inválido - Ingrese uno de los valores de la Tabla V: Tipos de Combustible o Fuente de Energía de la Estandarización de Características Registrables Vehiculares." showDropDown="false" showErrorMessage="true" showInputMessage="true" sqref="F15" type="list">
      <formula1>$L$3:$L$24</formula1>
      <formula2>0</formula2>
    </dataValidation>
    <dataValidation allowBlank="true" errorStyle="stop" operator="equal" prompt="Dato Inválido - Seleccione una de las posibles ubicaciones de la lista desplegable." showDropDown="false" showErrorMessage="true" showInputMessage="true" sqref="C44" type="list">
      <formula1>"NO CORRESPONDE,DELANTERO,CENTRAL,POSTERIOR"</formula1>
      <formula2>0</formula2>
    </dataValidation>
    <dataValidation allowBlank="true" errorStyle="stop" operator="equal" prompt="Valor Inválido - Seleccione una posible posición de la lista desplegable." showDropDown="false" showErrorMessage="true" showInputMessage="true" sqref="F44" type="list">
      <formula1>"NO CORRESPONDE,TRANSVERSAL,LONGITUDINAL"</formula1>
      <formula2>0</formula2>
    </dataValidation>
    <dataValidation allowBlank="true" errorStyle="stop" operator="equal" prompt="Valor Inválido - Selecciona una configuración posible de la lista desplegable." showDropDown="false" showErrorMessage="true" showInputMessage="true" sqref="F45" type="list">
      <formula1>"NO CORRESPONDE,EN LÍNEA,EN V,EN V 90º,OPUESTOS HORIZONTALMENTE"</formula1>
      <formula2>0</formula2>
    </dataValidation>
    <dataValidation allowBlank="true" errorStyle="stop" operator="equal" prompt="Valor Inválido - Seleccione un valor de la lista despegable que corresponda a la Tabla IV del a estandarización vehicular." showDropDown="false" showErrorMessage="true" showInputMessage="true" sqref="F56" type="list">
      <formula1>$M$3:$M$8</formula1>
      <formula2>0</formula2>
    </dataValidation>
    <dataValidation allowBlank="true" errorStyle="stop" operator="equal" prompt="Selección - Debe seleccionar uno de los valores definidos para esta celda." showDropDown="false" showErrorMessage="true" showInputMessage="true" sqref="H75" type="list">
      <formula1>"Lima,Callao,Paita,Piura,Tumbes,Salaverry,Trujillo,Pisco,Moquegua,Matarini,Ilo,Mollendo,Tacna,Puerto Maldonado,Iñapari,Pucallpa,Iquitos,Puno"</formula1>
      <formula2>0</formula2>
    </dataValidation>
  </dataValidations>
  <printOptions headings="false" gridLines="false" gridLinesSet="true" horizontalCentered="true" verticalCentered="true"/>
  <pageMargins left="0.511805555555556" right="0.196527777777778" top="1.18125" bottom="0.39375" header="0" footer="0"/>
  <pageSetup paperSize="9" scale="75" fitToWidth="1" fitToHeight="1" pageOrder="downThenOver" orientation="portrait" blackAndWhite="false" draft="false" cellComments="none" horizontalDpi="300" verticalDpi="300" copies="1"/>
  <headerFooter differentFirst="false" differentOddEven="false">
    <oddHeader>&amp;LCIP 73933&amp;CIng. Emilio David Vidal Domínguez&amp;R&amp;P de</oddHeader>
    <oddFooter>&amp;L Confidencial&amp;C&amp;F&amp;RPágina &amp;P</oddFooter>
  </headerFooter>
  <rowBreaks count="1" manualBreakCount="1">
    <brk id="48" man="true" max="16383" min="0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4" name="No Corresponde">
              <controlPr defaultSize="0" locked="1" autoFill="0" autoLine="0" autoPict="0" print="true" altText="Casilla 1">
                <anchor moveWithCells="true" sizeWithCells="false">
                  <from>
                    <xdr:col>8</xdr:col>
                    <xdr:colOff>725400</xdr:colOff>
                    <xdr:row>8</xdr:row>
                    <xdr:rowOff>20880</xdr:rowOff>
                  </from>
                  <to>
                    <xdr:col>10</xdr:col>
                    <xdr:colOff>23760</xdr:colOff>
                    <xdr:row>9</xdr:row>
                    <xdr:rowOff>-17640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5" name="No Corresponde">
              <controlPr defaultSize="0" locked="1" autoFill="0" autoLine="0" autoPict="0" print="true" altText="Casilla 2">
                <anchor moveWithCells="true" sizeWithCells="false">
                  <from>
                    <xdr:col>7</xdr:col>
                    <xdr:colOff>783360</xdr:colOff>
                    <xdr:row>27</xdr:row>
                    <xdr:rowOff>43920</xdr:rowOff>
                  </from>
                  <to>
                    <xdr:col>9</xdr:col>
                    <xdr:colOff>63720</xdr:colOff>
                    <xdr:row>28</xdr:row>
                    <xdr:rowOff>-175320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6" name="No Corresponde">
              <controlPr defaultSize="0" locked="1" autoFill="0" autoLine="0" autoPict="0" print="true" altText="Casilla 3">
                <anchor moveWithCells="true" sizeWithCells="false">
                  <from>
                    <xdr:col>8</xdr:col>
                    <xdr:colOff>811080</xdr:colOff>
                    <xdr:row>47</xdr:row>
                    <xdr:rowOff>19440</xdr:rowOff>
                  </from>
                  <to>
                    <xdr:col>15</xdr:col>
                    <xdr:colOff>138240</xdr:colOff>
                    <xdr:row>48</xdr:row>
                    <xdr:rowOff>57240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75" workbookViewId="0">
      <selection pane="topLeft" activeCell="C12" activeCellId="0" sqref="C12"/>
    </sheetView>
  </sheetViews>
  <sheetFormatPr defaultColWidth="12.71484375" defaultRowHeight="15" customHeight="true" zeroHeight="false" outlineLevelRow="0" outlineLevelCol="0"/>
  <cols>
    <col collapsed="false" customWidth="true" hidden="false" outlineLevel="0" max="1" min="1" style="0" width="3.78"/>
    <col collapsed="false" customWidth="true" hidden="false" outlineLevel="0" max="2" min="2" style="0" width="25.3"/>
    <col collapsed="false" customWidth="true" hidden="false" outlineLevel="0" max="3" min="3" style="0" width="27.06"/>
    <col collapsed="false" customWidth="true" hidden="false" outlineLevel="0" max="4" min="4" style="0" width="3.78"/>
    <col collapsed="false" customWidth="true" hidden="false" outlineLevel="0" max="5" min="5" style="0" width="25.3"/>
    <col collapsed="false" customWidth="true" hidden="false" outlineLevel="0" max="6" min="6" style="0" width="27.06"/>
    <col collapsed="false" customWidth="true" hidden="false" outlineLevel="0" max="8" min="7" style="0" width="10.07"/>
    <col collapsed="false" customWidth="true" hidden="false" outlineLevel="0" max="9" min="9" style="0" width="10.83"/>
    <col collapsed="false" customWidth="true" hidden="false" outlineLevel="0" max="10" min="10" style="0" width="10.07"/>
    <col collapsed="false" customWidth="true" hidden="false" outlineLevel="0" max="11" min="11" style="0" width="1.13"/>
    <col collapsed="false" customWidth="true" hidden="true" outlineLevel="0" max="12" min="12" style="0" width="4.4"/>
    <col collapsed="false" customWidth="true" hidden="true" outlineLevel="0" max="13" min="13" style="0" width="28.57"/>
    <col collapsed="false" customWidth="true" hidden="true" outlineLevel="0" max="14" min="14" style="0" width="1.13"/>
    <col collapsed="false" customWidth="true" hidden="true" outlineLevel="0" max="15" min="15" style="0" width="9.19"/>
    <col collapsed="false" customWidth="true" hidden="false" outlineLevel="0" max="26" min="16" style="0" width="9.44"/>
  </cols>
  <sheetData>
    <row r="1" customFormat="false" ht="26.25" hidden="false" customHeight="true" outlineLevel="0" collapsed="false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3"/>
      <c r="L1" s="3"/>
      <c r="M1" s="3"/>
      <c r="N1" s="3"/>
      <c r="O1" s="4" t="s">
        <v>1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9.5" hidden="false" customHeight="true" outlineLevel="0" collapsed="false">
      <c r="A2" s="5" t="n">
        <v>1</v>
      </c>
      <c r="B2" s="6" t="s">
        <v>2</v>
      </c>
      <c r="C2" s="7"/>
      <c r="D2" s="8" t="s">
        <v>3</v>
      </c>
      <c r="E2" s="8"/>
      <c r="F2" s="9" t="str">
        <f aca="false">"R" &amp; D5 &amp; "V" &amp; RIGHT(C13,6)</f>
        <v>RV001008</v>
      </c>
      <c r="G2" s="2"/>
      <c r="H2" s="2"/>
      <c r="I2" s="2"/>
      <c r="J2" s="2"/>
      <c r="K2" s="3"/>
      <c r="L2" s="10" t="s">
        <v>4</v>
      </c>
      <c r="M2" s="11" t="s">
        <v>5</v>
      </c>
      <c r="N2" s="3"/>
      <c r="O2" s="12" t="s">
        <v>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24" hidden="false" customHeight="true" outlineLevel="0" collapsed="false">
      <c r="A3" s="13" t="s">
        <v>7</v>
      </c>
      <c r="B3" s="13"/>
      <c r="C3" s="13"/>
      <c r="D3" s="13"/>
      <c r="E3" s="13"/>
      <c r="F3" s="13"/>
      <c r="G3" s="14"/>
      <c r="H3" s="15"/>
      <c r="I3" s="15"/>
      <c r="J3" s="15"/>
      <c r="K3" s="3"/>
      <c r="L3" s="16" t="s">
        <v>8</v>
      </c>
      <c r="M3" s="16" t="s">
        <v>8</v>
      </c>
      <c r="N3" s="3"/>
      <c r="O3" s="12" t="s">
        <v>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9.5" hidden="false" customHeight="true" outlineLevel="0" collapsed="false">
      <c r="A4" s="17" t="n">
        <v>2</v>
      </c>
      <c r="B4" s="18" t="s">
        <v>10</v>
      </c>
      <c r="C4" s="18"/>
      <c r="D4" s="19"/>
      <c r="E4" s="19"/>
      <c r="F4" s="19"/>
      <c r="G4" s="14"/>
      <c r="H4" s="15"/>
      <c r="I4" s="15"/>
      <c r="J4" s="15"/>
      <c r="K4" s="3"/>
      <c r="L4" s="16" t="s">
        <v>11</v>
      </c>
      <c r="M4" s="16" t="s">
        <v>12</v>
      </c>
      <c r="N4" s="3"/>
      <c r="O4" s="12" t="s">
        <v>13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9.5" hidden="false" customHeight="true" outlineLevel="0" collapsed="false">
      <c r="A5" s="20" t="n">
        <v>3</v>
      </c>
      <c r="B5" s="21" t="s">
        <v>14</v>
      </c>
      <c r="C5" s="21"/>
      <c r="D5" s="22"/>
      <c r="E5" s="22"/>
      <c r="F5" s="22"/>
      <c r="G5" s="14"/>
      <c r="H5" s="15"/>
      <c r="I5" s="15"/>
      <c r="J5" s="15"/>
      <c r="K5" s="3"/>
      <c r="L5" s="16" t="s">
        <v>15</v>
      </c>
      <c r="M5" s="16" t="s">
        <v>16</v>
      </c>
      <c r="N5" s="3"/>
      <c r="O5" s="12" t="s">
        <v>17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9.5" hidden="false" customHeight="true" outlineLevel="0" collapsed="false">
      <c r="A6" s="20" t="n">
        <v>4</v>
      </c>
      <c r="B6" s="21" t="s">
        <v>18</v>
      </c>
      <c r="C6" s="21"/>
      <c r="D6" s="22"/>
      <c r="E6" s="22"/>
      <c r="F6" s="22"/>
      <c r="G6" s="14"/>
      <c r="H6" s="23" t="s">
        <v>19</v>
      </c>
      <c r="I6" s="24"/>
      <c r="J6" s="24"/>
      <c r="K6" s="3"/>
      <c r="L6" s="16" t="s">
        <v>20</v>
      </c>
      <c r="M6" s="16" t="s">
        <v>21</v>
      </c>
      <c r="N6" s="3"/>
      <c r="O6" s="12" t="s">
        <v>22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9.5" hidden="false" customHeight="true" outlineLevel="0" collapsed="false">
      <c r="A7" s="20" t="n">
        <v>5</v>
      </c>
      <c r="B7" s="21" t="s">
        <v>23</v>
      </c>
      <c r="C7" s="21"/>
      <c r="D7" s="22"/>
      <c r="E7" s="22"/>
      <c r="F7" s="22"/>
      <c r="G7" s="14"/>
      <c r="H7" s="25" t="s">
        <v>24</v>
      </c>
      <c r="I7" s="25"/>
      <c r="J7" s="25"/>
      <c r="K7" s="3"/>
      <c r="L7" s="16" t="s">
        <v>25</v>
      </c>
      <c r="M7" s="26" t="s">
        <v>26</v>
      </c>
      <c r="N7" s="3"/>
      <c r="O7" s="12" t="s">
        <v>27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9.5" hidden="false" customHeight="true" outlineLevel="0" collapsed="false">
      <c r="A8" s="27" t="n">
        <v>6</v>
      </c>
      <c r="B8" s="28" t="s">
        <v>28</v>
      </c>
      <c r="C8" s="28"/>
      <c r="D8" s="29"/>
      <c r="E8" s="29"/>
      <c r="F8" s="29"/>
      <c r="G8" s="14"/>
      <c r="H8" s="25"/>
      <c r="I8" s="25"/>
      <c r="J8" s="25"/>
      <c r="K8" s="3"/>
      <c r="L8" s="16" t="s">
        <v>29</v>
      </c>
      <c r="M8" s="26" t="s">
        <v>30</v>
      </c>
      <c r="N8" s="3"/>
      <c r="O8" s="12" t="s">
        <v>31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24" hidden="false" customHeight="true" outlineLevel="0" collapsed="false">
      <c r="A9" s="30" t="s">
        <v>32</v>
      </c>
      <c r="B9" s="30"/>
      <c r="C9" s="30"/>
      <c r="D9" s="30"/>
      <c r="E9" s="30"/>
      <c r="F9" s="30"/>
      <c r="G9" s="14"/>
      <c r="H9" s="31" t="s">
        <v>33</v>
      </c>
      <c r="I9" s="32"/>
      <c r="J9" s="33" t="b">
        <v>0</v>
      </c>
      <c r="K9" s="3"/>
      <c r="L9" s="16" t="s">
        <v>34</v>
      </c>
      <c r="M9" s="3"/>
      <c r="N9" s="3"/>
      <c r="O9" s="12" t="s">
        <v>35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8" hidden="false" customHeight="true" outlineLevel="0" collapsed="false">
      <c r="A10" s="17" t="n">
        <v>7</v>
      </c>
      <c r="B10" s="18" t="s">
        <v>36</v>
      </c>
      <c r="C10" s="18"/>
      <c r="D10" s="34" t="n">
        <v>8</v>
      </c>
      <c r="E10" s="18" t="s">
        <v>37</v>
      </c>
      <c r="F10" s="35"/>
      <c r="G10" s="14"/>
      <c r="H10" s="36" t="s">
        <v>38</v>
      </c>
      <c r="I10" s="37" t="n">
        <f aca="false">IF(J9,"NO CORRESPONDE",ROUND(I11,J11))</f>
        <v>0</v>
      </c>
      <c r="J10" s="38" t="s">
        <v>39</v>
      </c>
      <c r="K10" s="3"/>
      <c r="L10" s="16" t="s">
        <v>40</v>
      </c>
      <c r="M10" s="3"/>
      <c r="N10" s="3"/>
      <c r="O10" s="12" t="s">
        <v>41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8" hidden="false" customHeight="true" outlineLevel="0" collapsed="false">
      <c r="A11" s="20" t="n">
        <v>9</v>
      </c>
      <c r="B11" s="21" t="s">
        <v>42</v>
      </c>
      <c r="C11" s="21"/>
      <c r="D11" s="39" t="n">
        <v>10</v>
      </c>
      <c r="E11" s="21" t="s">
        <v>43</v>
      </c>
      <c r="F11" s="40"/>
      <c r="G11" s="14"/>
      <c r="H11" s="41" t="s">
        <v>44</v>
      </c>
      <c r="I11" s="42" t="n">
        <f aca="false">SUM(I12*J12,I13*J13,I14*J14,I15*J17)</f>
        <v>0</v>
      </c>
      <c r="J11" s="38" t="n">
        <v>0</v>
      </c>
      <c r="K11" s="3"/>
      <c r="L11" s="16" t="s">
        <v>45</v>
      </c>
      <c r="M11" s="3"/>
      <c r="N11" s="3"/>
      <c r="O11" s="12" t="s">
        <v>46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8" hidden="false" customHeight="true" outlineLevel="0" collapsed="false">
      <c r="A12" s="20" t="n">
        <v>11</v>
      </c>
      <c r="B12" s="21" t="s">
        <v>47</v>
      </c>
      <c r="C12" s="43" t="s">
        <v>200</v>
      </c>
      <c r="D12" s="39" t="n">
        <v>12</v>
      </c>
      <c r="E12" s="21" t="s">
        <v>49</v>
      </c>
      <c r="F12" s="40"/>
      <c r="G12" s="14"/>
      <c r="H12" s="44" t="s">
        <v>50</v>
      </c>
      <c r="I12" s="45"/>
      <c r="J12" s="38" t="n">
        <v>1</v>
      </c>
      <c r="K12" s="3"/>
      <c r="L12" s="16" t="s">
        <v>51</v>
      </c>
      <c r="M12" s="3"/>
      <c r="N12" s="3"/>
      <c r="O12" s="12" t="s">
        <v>52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8" hidden="false" customHeight="true" outlineLevel="0" collapsed="false">
      <c r="A13" s="20" t="n">
        <v>13</v>
      </c>
      <c r="B13" s="21" t="s">
        <v>53</v>
      </c>
      <c r="C13" s="46" t="str">
        <f aca="false">IF(ISBLANK(I6), C12, I6)</f>
        <v>CBCDE1234WX001008</v>
      </c>
      <c r="D13" s="39" t="n">
        <v>14</v>
      </c>
      <c r="E13" s="21" t="s">
        <v>54</v>
      </c>
      <c r="F13" s="35"/>
      <c r="G13" s="14"/>
      <c r="H13" s="47" t="s">
        <v>55</v>
      </c>
      <c r="I13" s="48"/>
      <c r="J13" s="38" t="n">
        <v>1.609344</v>
      </c>
      <c r="K13" s="3"/>
      <c r="L13" s="16" t="s">
        <v>56</v>
      </c>
      <c r="M13" s="3"/>
      <c r="N13" s="3"/>
      <c r="O13" s="49" t="s">
        <v>57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8" hidden="false" customHeight="true" outlineLevel="0" collapsed="false">
      <c r="A14" s="20" t="n">
        <v>15</v>
      </c>
      <c r="B14" s="21" t="s">
        <v>58</v>
      </c>
      <c r="C14" s="21"/>
      <c r="D14" s="39" t="n">
        <v>16</v>
      </c>
      <c r="E14" s="21" t="s">
        <v>59</v>
      </c>
      <c r="F14" s="40"/>
      <c r="G14" s="14"/>
      <c r="H14" s="41" t="s">
        <v>60</v>
      </c>
      <c r="I14" s="50"/>
      <c r="J14" s="38" t="n">
        <v>1.853184</v>
      </c>
      <c r="K14" s="3"/>
      <c r="L14" s="16" t="s">
        <v>61</v>
      </c>
      <c r="M14" s="3"/>
      <c r="N14" s="3"/>
      <c r="O14" s="3" t="str">
        <f aca="false">CHOOSE(MONTH(J75),O2,O3,O4,O5,O6,O7,O8,O9,O10,O11,O12,O13)</f>
        <v>Diciembre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8" hidden="false" customHeight="true" outlineLevel="0" collapsed="false">
      <c r="A15" s="20" t="n">
        <v>17</v>
      </c>
      <c r="B15" s="21" t="s">
        <v>62</v>
      </c>
      <c r="C15" s="51"/>
      <c r="D15" s="39" t="n">
        <v>18</v>
      </c>
      <c r="E15" s="21" t="s">
        <v>63</v>
      </c>
      <c r="F15" s="40"/>
      <c r="G15" s="14"/>
      <c r="H15" s="41" t="s">
        <v>44</v>
      </c>
      <c r="I15" s="52" t="n">
        <f aca="false">SUM(I17/60,H17)</f>
        <v>0</v>
      </c>
      <c r="J15" s="38" t="s">
        <v>64</v>
      </c>
      <c r="K15" s="3"/>
      <c r="L15" s="16" t="s">
        <v>65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8" hidden="false" customHeight="true" outlineLevel="0" collapsed="false">
      <c r="A16" s="20" t="n">
        <v>19</v>
      </c>
      <c r="B16" s="21" t="s">
        <v>66</v>
      </c>
      <c r="C16" s="21"/>
      <c r="D16" s="39" t="n">
        <v>20</v>
      </c>
      <c r="E16" s="21" t="s">
        <v>67</v>
      </c>
      <c r="F16" s="40"/>
      <c r="G16" s="14"/>
      <c r="H16" s="41" t="s">
        <v>68</v>
      </c>
      <c r="I16" s="53" t="s">
        <v>69</v>
      </c>
      <c r="J16" s="54" t="s">
        <v>70</v>
      </c>
      <c r="K16" s="3"/>
      <c r="L16" s="16" t="s">
        <v>71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8" hidden="false" customHeight="true" outlineLevel="0" collapsed="false">
      <c r="A17" s="20" t="n">
        <v>21</v>
      </c>
      <c r="B17" s="21" t="s">
        <v>72</v>
      </c>
      <c r="C17" s="21"/>
      <c r="D17" s="39" t="n">
        <v>22</v>
      </c>
      <c r="E17" s="21" t="s">
        <v>73</v>
      </c>
      <c r="F17" s="40"/>
      <c r="G17" s="14"/>
      <c r="H17" s="55" t="n">
        <v>0</v>
      </c>
      <c r="I17" s="56" t="n">
        <v>0</v>
      </c>
      <c r="J17" s="57" t="n">
        <v>0</v>
      </c>
      <c r="K17" s="3"/>
      <c r="L17" s="16" t="s">
        <v>74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8" hidden="false" customHeight="true" outlineLevel="0" collapsed="false">
      <c r="A18" s="20" t="n">
        <v>23</v>
      </c>
      <c r="B18" s="21" t="s">
        <v>75</v>
      </c>
      <c r="C18" s="21"/>
      <c r="D18" s="39" t="n">
        <v>24</v>
      </c>
      <c r="E18" s="21" t="s">
        <v>76</v>
      </c>
      <c r="F18" s="40"/>
      <c r="G18" s="14"/>
      <c r="H18" s="58"/>
      <c r="I18" s="58"/>
      <c r="J18" s="58"/>
      <c r="K18" s="3"/>
      <c r="L18" s="16" t="s">
        <v>77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8" hidden="false" customHeight="true" outlineLevel="0" collapsed="false">
      <c r="A19" s="20" t="n">
        <v>25</v>
      </c>
      <c r="B19" s="21" t="s">
        <v>33</v>
      </c>
      <c r="C19" s="21" t="n">
        <f aca="false">I10</f>
        <v>0</v>
      </c>
      <c r="D19" s="39" t="n">
        <v>26</v>
      </c>
      <c r="E19" s="21" t="s">
        <v>78</v>
      </c>
      <c r="F19" s="59"/>
      <c r="G19" s="14"/>
      <c r="H19" s="58"/>
      <c r="I19" s="58"/>
      <c r="J19" s="58"/>
      <c r="K19" s="3"/>
      <c r="L19" s="16" t="s">
        <v>79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8" hidden="false" customHeight="true" outlineLevel="0" collapsed="false">
      <c r="A20" s="27" t="n">
        <v>27</v>
      </c>
      <c r="B20" s="28" t="s">
        <v>80</v>
      </c>
      <c r="C20" s="60"/>
      <c r="D20" s="60"/>
      <c r="E20" s="60"/>
      <c r="F20" s="60"/>
      <c r="G20" s="14"/>
      <c r="H20" s="58"/>
      <c r="I20" s="58"/>
      <c r="J20" s="58"/>
      <c r="K20" s="3"/>
      <c r="L20" s="16" t="s">
        <v>81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24" hidden="false" customHeight="true" outlineLevel="0" collapsed="false">
      <c r="A21" s="30" t="s">
        <v>82</v>
      </c>
      <c r="B21" s="30"/>
      <c r="C21" s="30"/>
      <c r="D21" s="30"/>
      <c r="E21" s="30"/>
      <c r="F21" s="30"/>
      <c r="G21" s="14"/>
      <c r="H21" s="61" t="s">
        <v>83</v>
      </c>
      <c r="I21" s="62" t="s">
        <v>84</v>
      </c>
      <c r="J21" s="63"/>
      <c r="K21" s="3"/>
      <c r="L21" s="16" t="s">
        <v>85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8" hidden="false" customHeight="true" outlineLevel="0" collapsed="false">
      <c r="A22" s="17" t="n">
        <v>28</v>
      </c>
      <c r="B22" s="18" t="s">
        <v>86</v>
      </c>
      <c r="C22" s="64"/>
      <c r="D22" s="34" t="n">
        <v>29</v>
      </c>
      <c r="E22" s="18" t="s">
        <v>87</v>
      </c>
      <c r="F22" s="65"/>
      <c r="G22" s="14"/>
      <c r="H22" s="66"/>
      <c r="I22" s="62"/>
      <c r="J22" s="67"/>
      <c r="K22" s="3"/>
      <c r="L22" s="16" t="s">
        <v>88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8" hidden="false" customHeight="true" outlineLevel="0" collapsed="false">
      <c r="A23" s="20" t="n">
        <v>30</v>
      </c>
      <c r="B23" s="21" t="s">
        <v>89</v>
      </c>
      <c r="C23" s="68"/>
      <c r="D23" s="39" t="n">
        <v>31</v>
      </c>
      <c r="E23" s="21" t="s">
        <v>90</v>
      </c>
      <c r="F23" s="69"/>
      <c r="G23" s="14"/>
      <c r="H23" s="70"/>
      <c r="I23" s="71" t="s">
        <v>91</v>
      </c>
      <c r="J23" s="67"/>
      <c r="K23" s="3"/>
      <c r="L23" s="16" t="s">
        <v>92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8" hidden="false" customHeight="true" outlineLevel="0" collapsed="false">
      <c r="A24" s="20" t="n">
        <v>32</v>
      </c>
      <c r="B24" s="21" t="s">
        <v>93</v>
      </c>
      <c r="C24" s="68"/>
      <c r="D24" s="39" t="n">
        <v>33</v>
      </c>
      <c r="E24" s="21" t="s">
        <v>94</v>
      </c>
      <c r="F24" s="69"/>
      <c r="G24" s="14"/>
      <c r="H24" s="72" t="s">
        <v>44</v>
      </c>
      <c r="I24" s="73" t="n">
        <f aca="false">ROUND(IF(ISBLANK(I25), IF(ISBLANK(I26), IF(ISBLANK(I27), 0, I27*J27), I26*J26), I25),0)</f>
        <v>0</v>
      </c>
      <c r="J24" s="67"/>
      <c r="K24" s="3"/>
      <c r="L24" s="26" t="s">
        <v>95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8" hidden="false" customHeight="true" outlineLevel="0" collapsed="false">
      <c r="A25" s="20" t="n">
        <v>34</v>
      </c>
      <c r="B25" s="21" t="s">
        <v>96</v>
      </c>
      <c r="C25" s="68"/>
      <c r="D25" s="39" t="n">
        <v>35</v>
      </c>
      <c r="E25" s="21" t="s">
        <v>97</v>
      </c>
      <c r="F25" s="69"/>
      <c r="G25" s="14"/>
      <c r="H25" s="72" t="s">
        <v>98</v>
      </c>
      <c r="I25" s="45"/>
      <c r="J25" s="67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8" hidden="false" customHeight="true" outlineLevel="0" collapsed="false">
      <c r="A26" s="20" t="n">
        <v>36</v>
      </c>
      <c r="B26" s="21" t="s">
        <v>99</v>
      </c>
      <c r="C26" s="21"/>
      <c r="D26" s="39" t="n">
        <v>37</v>
      </c>
      <c r="E26" s="21" t="s">
        <v>100</v>
      </c>
      <c r="F26" s="40"/>
      <c r="G26" s="14"/>
      <c r="H26" s="72" t="s">
        <v>101</v>
      </c>
      <c r="I26" s="48"/>
      <c r="J26" s="38" t="n">
        <v>0.7456999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8" hidden="false" customHeight="true" outlineLevel="0" collapsed="false">
      <c r="A27" s="20" t="n">
        <v>38</v>
      </c>
      <c r="B27" s="21" t="s">
        <v>102</v>
      </c>
      <c r="C27" s="21"/>
      <c r="D27" s="39" t="n">
        <v>39</v>
      </c>
      <c r="E27" s="21" t="s">
        <v>103</v>
      </c>
      <c r="F27" s="40"/>
      <c r="G27" s="14"/>
      <c r="H27" s="72" t="s">
        <v>104</v>
      </c>
      <c r="I27" s="50"/>
      <c r="J27" s="38" t="n">
        <v>0.735498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36" hidden="false" customHeight="true" outlineLevel="0" collapsed="false">
      <c r="A28" s="20" t="n">
        <v>40</v>
      </c>
      <c r="B28" s="21" t="s">
        <v>105</v>
      </c>
      <c r="C28" s="21"/>
      <c r="D28" s="39" t="n">
        <v>41</v>
      </c>
      <c r="E28" s="21" t="s">
        <v>106</v>
      </c>
      <c r="F28" s="40"/>
      <c r="G28" s="14"/>
      <c r="H28" s="72" t="s">
        <v>107</v>
      </c>
      <c r="I28" s="74" t="b">
        <v>1</v>
      </c>
      <c r="J28" s="67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36" hidden="false" customHeight="true" outlineLevel="0" collapsed="false">
      <c r="A29" s="20" t="n">
        <v>42</v>
      </c>
      <c r="B29" s="21" t="s">
        <v>108</v>
      </c>
      <c r="C29" s="21"/>
      <c r="D29" s="39" t="n">
        <v>43</v>
      </c>
      <c r="E29" s="21" t="s">
        <v>109</v>
      </c>
      <c r="F29" s="40"/>
      <c r="G29" s="14"/>
      <c r="H29" s="75" t="s">
        <v>110</v>
      </c>
      <c r="I29" s="75"/>
      <c r="J29" s="75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36" hidden="false" customHeight="true" outlineLevel="0" collapsed="false">
      <c r="A30" s="20" t="n">
        <v>44</v>
      </c>
      <c r="B30" s="21" t="s">
        <v>111</v>
      </c>
      <c r="C30" s="21"/>
      <c r="D30" s="39" t="n">
        <v>45</v>
      </c>
      <c r="E30" s="21" t="s">
        <v>112</v>
      </c>
      <c r="F30" s="76" t="str">
        <f aca="false">IF(I28,"NO CORRESPONDE",I24*1000/(F26+IF(ISNUMBER(C31),C31*1000,0)))</f>
        <v>NO CORRESPONDE</v>
      </c>
      <c r="G30" s="14"/>
      <c r="H30" s="14"/>
      <c r="I30" s="75"/>
      <c r="J30" s="75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8" hidden="false" customHeight="true" outlineLevel="0" collapsed="false">
      <c r="A31" s="27" t="n">
        <v>46</v>
      </c>
      <c r="B31" s="28" t="s">
        <v>113</v>
      </c>
      <c r="C31" s="28"/>
      <c r="D31" s="77"/>
      <c r="E31" s="77"/>
      <c r="F31" s="77"/>
      <c r="G31" s="14"/>
      <c r="H31" s="14"/>
      <c r="I31" s="75"/>
      <c r="J31" s="75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24" hidden="false" customHeight="true" outlineLevel="0" collapsed="false">
      <c r="A32" s="30" t="s">
        <v>114</v>
      </c>
      <c r="B32" s="30"/>
      <c r="C32" s="30"/>
      <c r="D32" s="30"/>
      <c r="E32" s="30"/>
      <c r="F32" s="30"/>
      <c r="G32" s="14"/>
      <c r="H32" s="14"/>
      <c r="I32" s="75"/>
      <c r="J32" s="75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8" hidden="false" customHeight="true" outlineLevel="0" collapsed="false">
      <c r="A33" s="17" t="n">
        <v>47</v>
      </c>
      <c r="B33" s="18" t="s">
        <v>115</v>
      </c>
      <c r="C33" s="78"/>
      <c r="D33" s="78"/>
      <c r="E33" s="78"/>
      <c r="F33" s="78"/>
      <c r="G33" s="14"/>
      <c r="H33" s="14"/>
      <c r="I33" s="75"/>
      <c r="J33" s="75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8" hidden="false" customHeight="true" outlineLevel="0" collapsed="false">
      <c r="A34" s="20" t="n">
        <v>48</v>
      </c>
      <c r="B34" s="21" t="s">
        <v>116</v>
      </c>
      <c r="C34" s="40"/>
      <c r="D34" s="40"/>
      <c r="E34" s="40"/>
      <c r="F34" s="40"/>
      <c r="G34" s="14"/>
      <c r="H34" s="14"/>
      <c r="I34" s="75"/>
      <c r="J34" s="75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8" hidden="false" customHeight="true" outlineLevel="0" collapsed="false">
      <c r="A35" s="20" t="n">
        <v>49</v>
      </c>
      <c r="B35" s="21" t="s">
        <v>117</v>
      </c>
      <c r="C35" s="21"/>
      <c r="D35" s="39" t="n">
        <v>50</v>
      </c>
      <c r="E35" s="21" t="s">
        <v>118</v>
      </c>
      <c r="F35" s="40"/>
      <c r="G35" s="14"/>
      <c r="H35" s="14"/>
      <c r="I35" s="75"/>
      <c r="J35" s="75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8" hidden="false" customHeight="true" outlineLevel="0" collapsed="false">
      <c r="A36" s="20" t="n">
        <v>51</v>
      </c>
      <c r="B36" s="21" t="s">
        <v>119</v>
      </c>
      <c r="C36" s="21"/>
      <c r="D36" s="39" t="n">
        <v>52</v>
      </c>
      <c r="E36" s="21" t="s">
        <v>120</v>
      </c>
      <c r="F36" s="40"/>
      <c r="G36" s="14"/>
      <c r="H36" s="79"/>
      <c r="I36" s="79"/>
      <c r="J36" s="79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8" hidden="false" customHeight="true" outlineLevel="0" collapsed="false">
      <c r="A37" s="20" t="n">
        <v>53</v>
      </c>
      <c r="B37" s="21" t="s">
        <v>121</v>
      </c>
      <c r="C37" s="40"/>
      <c r="D37" s="40"/>
      <c r="E37" s="40"/>
      <c r="F37" s="40"/>
      <c r="G37" s="14"/>
      <c r="H37" s="58"/>
      <c r="I37" s="58"/>
      <c r="J37" s="58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8" hidden="false" customHeight="true" outlineLevel="0" collapsed="false">
      <c r="A38" s="20" t="n">
        <v>54</v>
      </c>
      <c r="B38" s="21" t="s">
        <v>122</v>
      </c>
      <c r="C38" s="80"/>
      <c r="D38" s="80"/>
      <c r="E38" s="80"/>
      <c r="F38" s="80"/>
      <c r="G38" s="14"/>
      <c r="H38" s="58"/>
      <c r="I38" s="58"/>
      <c r="J38" s="58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8" hidden="false" customHeight="true" outlineLevel="0" collapsed="false">
      <c r="A39" s="20" t="n">
        <v>55</v>
      </c>
      <c r="B39" s="21" t="s">
        <v>123</v>
      </c>
      <c r="C39" s="21"/>
      <c r="D39" s="39" t="n">
        <v>56</v>
      </c>
      <c r="E39" s="21" t="s">
        <v>124</v>
      </c>
      <c r="F39" s="40"/>
      <c r="G39" s="14"/>
      <c r="H39" s="58"/>
      <c r="I39" s="58"/>
      <c r="J39" s="58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8" hidden="false" customHeight="true" outlineLevel="0" collapsed="false">
      <c r="A40" s="20" t="n">
        <v>57</v>
      </c>
      <c r="B40" s="21" t="s">
        <v>125</v>
      </c>
      <c r="C40" s="21"/>
      <c r="D40" s="39" t="n">
        <v>58</v>
      </c>
      <c r="E40" s="21" t="s">
        <v>126</v>
      </c>
      <c r="F40" s="40"/>
      <c r="G40" s="14"/>
      <c r="H40" s="58"/>
      <c r="I40" s="58"/>
      <c r="J40" s="58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36" hidden="false" customHeight="true" outlineLevel="0" collapsed="false">
      <c r="A41" s="20" t="n">
        <v>59</v>
      </c>
      <c r="B41" s="21" t="s">
        <v>127</v>
      </c>
      <c r="C41" s="81"/>
      <c r="D41" s="39" t="n">
        <v>60</v>
      </c>
      <c r="E41" s="21" t="s">
        <v>128</v>
      </c>
      <c r="F41" s="40"/>
      <c r="G41" s="14"/>
      <c r="H41" s="58"/>
      <c r="I41" s="58"/>
      <c r="J41" s="58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36" hidden="false" customHeight="true" outlineLevel="0" collapsed="false">
      <c r="A42" s="27" t="n">
        <v>61</v>
      </c>
      <c r="B42" s="28" t="s">
        <v>129</v>
      </c>
      <c r="C42" s="82" t="str">
        <f aca="false">IF(ISNUMBER(I43),ROUND(I43,0),I43)</f>
        <v>NO CORRESPONDE</v>
      </c>
      <c r="D42" s="83" t="n">
        <v>62</v>
      </c>
      <c r="E42" s="28" t="s">
        <v>130</v>
      </c>
      <c r="F42" s="84"/>
      <c r="G42" s="14"/>
      <c r="H42" s="85" t="s">
        <v>131</v>
      </c>
      <c r="I42" s="85"/>
      <c r="J42" s="86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24" hidden="false" customHeight="true" outlineLevel="0" collapsed="false">
      <c r="A43" s="30" t="s">
        <v>132</v>
      </c>
      <c r="B43" s="30"/>
      <c r="C43" s="30"/>
      <c r="D43" s="30"/>
      <c r="E43" s="30"/>
      <c r="F43" s="30"/>
      <c r="G43" s="14"/>
      <c r="H43" s="72" t="s">
        <v>44</v>
      </c>
      <c r="I43" s="87" t="str">
        <f aca="false">IF(ISBLANK(I44), IF(ISBLANK(I45), IF(ISBLANK(I46), "NO CORRESPONDE", I46*J46), I45*J45), I44)</f>
        <v>NO CORRESPONDE</v>
      </c>
      <c r="J43" s="86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8" hidden="false" customHeight="true" outlineLevel="0" collapsed="false">
      <c r="A44" s="17" t="n">
        <v>63</v>
      </c>
      <c r="B44" s="18" t="s">
        <v>133</v>
      </c>
      <c r="C44" s="18"/>
      <c r="D44" s="34" t="n">
        <v>64</v>
      </c>
      <c r="E44" s="18" t="s">
        <v>134</v>
      </c>
      <c r="F44" s="35"/>
      <c r="G44" s="14"/>
      <c r="H44" s="72" t="s">
        <v>135</v>
      </c>
      <c r="I44" s="45"/>
      <c r="J44" s="86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8" hidden="false" customHeight="true" outlineLevel="0" collapsed="false">
      <c r="A45" s="20" t="n">
        <v>65</v>
      </c>
      <c r="B45" s="21" t="s">
        <v>136</v>
      </c>
      <c r="C45" s="21"/>
      <c r="D45" s="39" t="n">
        <v>66</v>
      </c>
      <c r="E45" s="21" t="s">
        <v>137</v>
      </c>
      <c r="F45" s="40"/>
      <c r="G45" s="14"/>
      <c r="H45" s="72" t="s">
        <v>138</v>
      </c>
      <c r="I45" s="48"/>
      <c r="J45" s="38" t="n">
        <v>3.785412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8" hidden="false" customHeight="true" outlineLevel="0" collapsed="false">
      <c r="A46" s="20" t="n">
        <v>67</v>
      </c>
      <c r="B46" s="21" t="s">
        <v>139</v>
      </c>
      <c r="C46" s="21" t="n">
        <f aca="false">I49</f>
        <v>0</v>
      </c>
      <c r="D46" s="39" t="n">
        <v>68</v>
      </c>
      <c r="E46" s="21" t="s">
        <v>140</v>
      </c>
      <c r="F46" s="40"/>
      <c r="G46" s="14"/>
      <c r="H46" s="88" t="s">
        <v>141</v>
      </c>
      <c r="I46" s="89"/>
      <c r="J46" s="90" t="n">
        <v>4.546092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8" hidden="false" customHeight="true" outlineLevel="0" collapsed="false">
      <c r="A47" s="20" t="n">
        <v>69</v>
      </c>
      <c r="B47" s="21" t="s">
        <v>142</v>
      </c>
      <c r="C47" s="21"/>
      <c r="D47" s="39" t="n">
        <v>70</v>
      </c>
      <c r="E47" s="21" t="s">
        <v>143</v>
      </c>
      <c r="F47" s="40" t="str">
        <f aca="false">IF(ISNUMBER(H22), I24 &amp; " kW. @ " &amp; H22 &amp; " rpm", "NO CORRESPONDE")</f>
        <v>NO CORRESPONDE</v>
      </c>
      <c r="G47" s="14"/>
      <c r="H47" s="91"/>
      <c r="I47" s="91"/>
      <c r="J47" s="91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8" hidden="false" customHeight="true" outlineLevel="0" collapsed="false">
      <c r="A48" s="92" t="n">
        <v>71</v>
      </c>
      <c r="B48" s="93" t="s">
        <v>144</v>
      </c>
      <c r="C48" s="93"/>
      <c r="D48" s="94" t="n">
        <v>72</v>
      </c>
      <c r="E48" s="95" t="s">
        <v>145</v>
      </c>
      <c r="F48" s="60"/>
      <c r="G48" s="14"/>
      <c r="H48" s="61" t="s">
        <v>146</v>
      </c>
      <c r="I48" s="96"/>
      <c r="J48" s="97" t="b"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24" hidden="false" customHeight="true" outlineLevel="0" collapsed="false">
      <c r="A49" s="30" t="s">
        <v>147</v>
      </c>
      <c r="B49" s="30"/>
      <c r="C49" s="30"/>
      <c r="D49" s="30"/>
      <c r="E49" s="30"/>
      <c r="F49" s="30"/>
      <c r="G49" s="14"/>
      <c r="H49" s="72" t="s">
        <v>44</v>
      </c>
      <c r="I49" s="87" t="n">
        <f aca="false">IF(J48, "NO CORRESPONDE", SUM(J50:J52))</f>
        <v>0</v>
      </c>
      <c r="J49" s="38" t="s">
        <v>148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8" hidden="false" customHeight="true" outlineLevel="0" collapsed="false">
      <c r="A50" s="17" t="n">
        <v>73</v>
      </c>
      <c r="B50" s="18" t="s">
        <v>149</v>
      </c>
      <c r="C50" s="18"/>
      <c r="D50" s="98" t="n">
        <v>74</v>
      </c>
      <c r="E50" s="98" t="s">
        <v>150</v>
      </c>
      <c r="F50" s="35"/>
      <c r="G50" s="14"/>
      <c r="H50" s="72" t="s">
        <v>151</v>
      </c>
      <c r="I50" s="45"/>
      <c r="J50" s="38" t="n">
        <f aca="false">I50*1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8" hidden="false" customHeight="true" outlineLevel="0" collapsed="false">
      <c r="A51" s="20" t="n">
        <v>75</v>
      </c>
      <c r="B51" s="21" t="s">
        <v>152</v>
      </c>
      <c r="C51" s="21"/>
      <c r="D51" s="39" t="n">
        <v>76</v>
      </c>
      <c r="E51" s="21" t="s">
        <v>153</v>
      </c>
      <c r="F51" s="99"/>
      <c r="G51" s="14"/>
      <c r="H51" s="72" t="s">
        <v>154</v>
      </c>
      <c r="I51" s="48"/>
      <c r="J51" s="38" t="n">
        <f aca="false">I51*1000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8" hidden="false" customHeight="true" outlineLevel="0" collapsed="false">
      <c r="A52" s="20" t="n">
        <v>77</v>
      </c>
      <c r="B52" s="21" t="s">
        <v>155</v>
      </c>
      <c r="C52" s="100"/>
      <c r="D52" s="39" t="n">
        <v>78</v>
      </c>
      <c r="E52" s="21" t="s">
        <v>156</v>
      </c>
      <c r="F52" s="99" t="str">
        <f aca="false">IF(AND(ISNUMBER(F51), ISNUMBER(C52)), SUM(F51,C52), "NO CORRESPONDE")</f>
        <v>NO CORRESPONDE</v>
      </c>
      <c r="G52" s="14"/>
      <c r="H52" s="88" t="s">
        <v>157</v>
      </c>
      <c r="I52" s="50"/>
      <c r="J52" s="90" t="n">
        <f aca="false">I52*16.3871</f>
        <v>0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8" hidden="false" customHeight="true" outlineLevel="0" collapsed="false">
      <c r="A53" s="20" t="n">
        <v>79</v>
      </c>
      <c r="B53" s="21" t="s">
        <v>158</v>
      </c>
      <c r="C53" s="100"/>
      <c r="D53" s="39" t="n">
        <v>80</v>
      </c>
      <c r="E53" s="21" t="s">
        <v>159</v>
      </c>
      <c r="F53" s="76"/>
      <c r="G53" s="14"/>
      <c r="H53" s="101"/>
      <c r="I53" s="101"/>
      <c r="J53" s="101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8" hidden="false" customHeight="true" outlineLevel="0" collapsed="false">
      <c r="A54" s="27" t="n">
        <v>81</v>
      </c>
      <c r="B54" s="28" t="s">
        <v>160</v>
      </c>
      <c r="C54" s="60"/>
      <c r="D54" s="60"/>
      <c r="E54" s="60"/>
      <c r="F54" s="60"/>
      <c r="G54" s="14"/>
      <c r="H54" s="101"/>
      <c r="I54" s="101"/>
      <c r="J54" s="101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24" hidden="false" customHeight="true" outlineLevel="0" collapsed="false">
      <c r="A55" s="30" t="s">
        <v>161</v>
      </c>
      <c r="B55" s="30"/>
      <c r="C55" s="30"/>
      <c r="D55" s="30"/>
      <c r="E55" s="30"/>
      <c r="F55" s="30"/>
      <c r="G55" s="14"/>
      <c r="H55" s="101"/>
      <c r="I55" s="101"/>
      <c r="J55" s="101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8" hidden="false" customHeight="true" outlineLevel="0" collapsed="false">
      <c r="A56" s="17" t="n">
        <v>82</v>
      </c>
      <c r="B56" s="18" t="s">
        <v>162</v>
      </c>
      <c r="C56" s="18"/>
      <c r="D56" s="34" t="n">
        <v>83</v>
      </c>
      <c r="E56" s="18" t="s">
        <v>163</v>
      </c>
      <c r="F56" s="35"/>
      <c r="G56" s="14"/>
      <c r="H56" s="101"/>
      <c r="I56" s="101"/>
      <c r="J56" s="101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8" hidden="false" customHeight="true" outlineLevel="0" collapsed="false">
      <c r="A57" s="27" t="n">
        <v>84</v>
      </c>
      <c r="B57" s="28" t="s">
        <v>164</v>
      </c>
      <c r="C57" s="28"/>
      <c r="D57" s="83" t="n">
        <v>85</v>
      </c>
      <c r="E57" s="28" t="s">
        <v>165</v>
      </c>
      <c r="F57" s="84"/>
      <c r="G57" s="14"/>
      <c r="H57" s="101"/>
      <c r="I57" s="101"/>
      <c r="J57" s="101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24" hidden="false" customHeight="true" outlineLevel="0" collapsed="false">
      <c r="A58" s="30" t="s">
        <v>166</v>
      </c>
      <c r="B58" s="30"/>
      <c r="C58" s="30"/>
      <c r="D58" s="30"/>
      <c r="E58" s="30"/>
      <c r="F58" s="30"/>
      <c r="G58" s="14"/>
      <c r="H58" s="101"/>
      <c r="I58" s="101"/>
      <c r="J58" s="101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8" hidden="false" customHeight="true" outlineLevel="0" collapsed="false">
      <c r="A59" s="17" t="n">
        <v>86</v>
      </c>
      <c r="B59" s="18" t="s">
        <v>167</v>
      </c>
      <c r="C59" s="78"/>
      <c r="D59" s="78"/>
      <c r="E59" s="78"/>
      <c r="F59" s="78"/>
      <c r="G59" s="14"/>
      <c r="H59" s="101"/>
      <c r="I59" s="101"/>
      <c r="J59" s="101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27" hidden="false" customHeight="true" outlineLevel="0" collapsed="false">
      <c r="A60" s="20" t="n">
        <v>87</v>
      </c>
      <c r="B60" s="21" t="s">
        <v>168</v>
      </c>
      <c r="C60" s="21"/>
      <c r="D60" s="39" t="n">
        <v>88</v>
      </c>
      <c r="E60" s="21" t="s">
        <v>169</v>
      </c>
      <c r="F60" s="40"/>
      <c r="G60" s="14"/>
      <c r="H60" s="101"/>
      <c r="I60" s="101"/>
      <c r="J60" s="101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8" hidden="false" customHeight="true" outlineLevel="0" collapsed="false">
      <c r="A61" s="20" t="n">
        <v>89</v>
      </c>
      <c r="B61" s="21" t="s">
        <v>170</v>
      </c>
      <c r="C61" s="21"/>
      <c r="D61" s="39" t="n">
        <v>90</v>
      </c>
      <c r="E61" s="21" t="s">
        <v>171</v>
      </c>
      <c r="F61" s="40"/>
      <c r="G61" s="14"/>
      <c r="H61" s="101"/>
      <c r="I61" s="101"/>
      <c r="J61" s="101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8" hidden="false" customHeight="true" outlineLevel="0" collapsed="false">
      <c r="A62" s="20" t="n">
        <v>91</v>
      </c>
      <c r="B62" s="21" t="s">
        <v>172</v>
      </c>
      <c r="C62" s="21"/>
      <c r="D62" s="39" t="n">
        <v>92</v>
      </c>
      <c r="E62" s="21" t="s">
        <v>173</v>
      </c>
      <c r="F62" s="40"/>
      <c r="G62" s="14"/>
      <c r="H62" s="101"/>
      <c r="I62" s="101"/>
      <c r="J62" s="101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8" hidden="false" customHeight="true" outlineLevel="0" collapsed="false">
      <c r="A63" s="20" t="n">
        <v>93</v>
      </c>
      <c r="B63" s="21" t="s">
        <v>174</v>
      </c>
      <c r="C63" s="21"/>
      <c r="D63" s="39" t="n">
        <v>94</v>
      </c>
      <c r="E63" s="21" t="s">
        <v>175</v>
      </c>
      <c r="F63" s="40"/>
      <c r="G63" s="14"/>
      <c r="H63" s="101"/>
      <c r="I63" s="101"/>
      <c r="J63" s="101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8" hidden="false" customHeight="true" outlineLevel="0" collapsed="false">
      <c r="A64" s="20" t="n">
        <v>95</v>
      </c>
      <c r="B64" s="21" t="s">
        <v>176</v>
      </c>
      <c r="C64" s="21"/>
      <c r="D64" s="39" t="n">
        <v>96</v>
      </c>
      <c r="E64" s="21" t="s">
        <v>177</v>
      </c>
      <c r="F64" s="40"/>
      <c r="G64" s="14"/>
      <c r="H64" s="101"/>
      <c r="I64" s="101"/>
      <c r="J64" s="101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8" hidden="false" customHeight="true" outlineLevel="0" collapsed="false">
      <c r="A65" s="27" t="n">
        <v>97</v>
      </c>
      <c r="B65" s="28" t="s">
        <v>178</v>
      </c>
      <c r="C65" s="60"/>
      <c r="D65" s="60"/>
      <c r="E65" s="60"/>
      <c r="F65" s="60"/>
      <c r="G65" s="14"/>
      <c r="H65" s="101"/>
      <c r="I65" s="101"/>
      <c r="J65" s="101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24" hidden="false" customHeight="true" outlineLevel="0" collapsed="false">
      <c r="A66" s="30" t="s">
        <v>179</v>
      </c>
      <c r="B66" s="30"/>
      <c r="C66" s="30"/>
      <c r="D66" s="30"/>
      <c r="E66" s="30"/>
      <c r="F66" s="30"/>
      <c r="G66" s="14"/>
      <c r="H66" s="101"/>
      <c r="I66" s="101"/>
      <c r="J66" s="101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2.75" hidden="false" customHeight="true" outlineLevel="0" collapsed="false">
      <c r="A67" s="17" t="n">
        <v>98</v>
      </c>
      <c r="B67" s="18" t="s">
        <v>180</v>
      </c>
      <c r="C67" s="18" t="s">
        <v>181</v>
      </c>
      <c r="D67" s="34" t="n">
        <v>99</v>
      </c>
      <c r="E67" s="18" t="s">
        <v>182</v>
      </c>
      <c r="F67" s="35" t="s">
        <v>181</v>
      </c>
      <c r="G67" s="14"/>
      <c r="H67" s="101"/>
      <c r="I67" s="101"/>
      <c r="J67" s="101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2.75" hidden="false" customHeight="true" outlineLevel="0" collapsed="false">
      <c r="A68" s="20" t="n">
        <v>100</v>
      </c>
      <c r="B68" s="21" t="s">
        <v>183</v>
      </c>
      <c r="C68" s="21" t="s">
        <v>181</v>
      </c>
      <c r="D68" s="39" t="n">
        <v>101</v>
      </c>
      <c r="E68" s="21" t="s">
        <v>184</v>
      </c>
      <c r="F68" s="40" t="s">
        <v>181</v>
      </c>
      <c r="G68" s="14"/>
      <c r="H68" s="101"/>
      <c r="I68" s="101"/>
      <c r="J68" s="101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2.75" hidden="false" customHeight="true" outlineLevel="0" collapsed="false">
      <c r="A69" s="20" t="n">
        <v>102</v>
      </c>
      <c r="B69" s="21" t="s">
        <v>185</v>
      </c>
      <c r="C69" s="102" t="s">
        <v>181</v>
      </c>
      <c r="D69" s="102"/>
      <c r="E69" s="102"/>
      <c r="F69" s="102"/>
      <c r="G69" s="14"/>
      <c r="H69" s="101"/>
      <c r="I69" s="101"/>
      <c r="J69" s="101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50.25" hidden="false" customHeight="true" outlineLevel="0" collapsed="false">
      <c r="A70" s="27" t="n">
        <v>103</v>
      </c>
      <c r="B70" s="28" t="s">
        <v>186</v>
      </c>
      <c r="C70" s="103" t="s">
        <v>181</v>
      </c>
      <c r="D70" s="103"/>
      <c r="E70" s="103"/>
      <c r="F70" s="103"/>
      <c r="G70" s="14"/>
      <c r="H70" s="101"/>
      <c r="I70" s="101"/>
      <c r="J70" s="101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24" hidden="false" customHeight="true" outlineLevel="0" collapsed="false">
      <c r="A71" s="30" t="s">
        <v>187</v>
      </c>
      <c r="B71" s="30"/>
      <c r="C71" s="30"/>
      <c r="D71" s="30"/>
      <c r="E71" s="30"/>
      <c r="F71" s="30"/>
      <c r="G71" s="14"/>
      <c r="H71" s="101"/>
      <c r="I71" s="101"/>
      <c r="J71" s="101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30" hidden="false" customHeight="true" outlineLevel="0" collapsed="false">
      <c r="A72" s="104" t="s">
        <v>188</v>
      </c>
      <c r="B72" s="104"/>
      <c r="C72" s="104"/>
      <c r="D72" s="104"/>
      <c r="E72" s="104"/>
      <c r="F72" s="104"/>
      <c r="G72" s="14"/>
      <c r="H72" s="101"/>
      <c r="I72" s="101"/>
      <c r="J72" s="101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90.5" hidden="false" customHeight="true" outlineLevel="0" collapsed="false">
      <c r="A73" s="20" t="n">
        <v>104</v>
      </c>
      <c r="B73" s="105" t="s">
        <v>189</v>
      </c>
      <c r="C73" s="102"/>
      <c r="D73" s="102"/>
      <c r="E73" s="102"/>
      <c r="F73" s="102"/>
      <c r="G73" s="14"/>
      <c r="H73" s="101"/>
      <c r="I73" s="101"/>
      <c r="J73" s="101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225" hidden="false" customHeight="true" outlineLevel="0" collapsed="false">
      <c r="A74" s="27" t="n">
        <v>105</v>
      </c>
      <c r="B74" s="106" t="s">
        <v>190</v>
      </c>
      <c r="C74" s="77"/>
      <c r="D74" s="77"/>
      <c r="E74" s="77"/>
      <c r="F74" s="77"/>
      <c r="G74" s="14"/>
      <c r="H74" s="101"/>
      <c r="I74" s="101"/>
      <c r="J74" s="101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8" hidden="false" customHeight="true" outlineLevel="0" collapsed="false">
      <c r="A75" s="5" t="n">
        <v>106</v>
      </c>
      <c r="B75" s="6" t="s">
        <v>191</v>
      </c>
      <c r="C75" s="107" t="str">
        <f aca="false">CONCATENATE(H75, ", ", TEXT(DAY(J75), "00"), " de ", O14, " de ", TEXT(YEAR(J75), "0000"), ".")</f>
        <v>, 30 de Diciembre de 1899.</v>
      </c>
      <c r="D75" s="107"/>
      <c r="E75" s="107"/>
      <c r="F75" s="107"/>
      <c r="G75" s="108" t="s">
        <v>192</v>
      </c>
      <c r="H75" s="109"/>
      <c r="I75" s="110" t="s">
        <v>193</v>
      </c>
      <c r="J75" s="111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true" outlineLevel="0" collapsed="false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customFormat="false" ht="12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2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2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2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2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2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2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2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2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2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2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2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2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2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2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2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2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2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2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2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2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2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2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2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2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2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2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2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2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2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2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2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2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2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2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2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2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2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2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2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2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2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2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2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2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2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2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2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2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2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2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2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2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2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2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2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2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2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2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2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2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2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2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2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2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2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2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2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2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2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2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2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2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2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2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2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2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2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2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2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2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2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2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2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2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2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2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2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2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2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2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2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2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2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2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2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2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2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2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2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2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2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2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2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2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2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2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2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2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2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2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2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2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2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2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2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2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2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2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2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2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2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2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2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2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2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2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2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2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2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2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2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2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2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2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2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2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2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2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2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2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2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2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2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2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2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2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2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2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2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2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2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2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2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2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2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2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2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2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2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2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2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2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2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2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2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2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2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2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2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2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2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2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2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2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2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2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2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2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2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2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2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2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2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2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2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2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2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2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2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2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2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2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2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2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2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2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2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2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2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2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2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2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2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2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2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2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2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2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2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2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2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2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2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2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2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2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2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2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2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2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2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2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2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2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2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2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2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2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2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2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2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2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2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2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2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2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2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2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2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2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2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2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2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2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2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2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2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2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2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2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2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2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2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2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2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2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2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2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2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2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2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2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2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2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2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2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2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2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2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2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2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2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2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2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2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2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2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2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2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2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2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2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2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2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2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2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2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2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2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2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2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2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2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2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2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2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2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2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2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2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2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2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2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2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2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2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2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2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2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2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2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2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2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2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2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2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2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2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2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2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2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2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2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2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2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2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2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2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2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2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2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2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2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2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2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2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2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2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2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2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2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2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2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2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2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2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2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2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2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2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2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2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2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2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2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2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2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2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2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2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2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2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2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2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2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2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2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2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2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2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2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2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2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2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2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2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2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2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2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2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2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2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2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2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2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2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2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2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2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2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2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2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2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2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2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2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2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2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2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2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2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2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2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2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2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2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2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2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2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2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2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2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2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2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2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2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2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2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2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2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2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2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2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2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2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2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2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2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2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2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2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2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2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2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2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2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2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2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2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2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2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2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2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2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2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2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2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2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2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2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2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2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2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2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2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2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2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2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2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2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2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2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2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2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2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2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2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2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2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2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2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2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2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2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2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2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2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2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2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2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2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2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2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2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2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2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2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2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2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2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2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2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2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2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2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2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2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2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2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2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2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2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2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2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2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2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2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2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2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2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2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2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2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2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2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2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2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2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2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2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2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2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2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2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2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2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2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2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2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2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2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2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2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2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2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2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2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2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2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2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2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2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2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2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2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2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2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2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2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2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2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2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2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2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2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2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2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2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2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2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2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2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2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2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2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2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2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2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2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2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2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2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2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2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2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2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2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2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2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2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2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2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2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2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2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2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2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2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2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2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2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2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2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2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2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2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2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2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2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2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2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2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2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2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2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2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2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2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2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2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2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2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2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2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2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2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2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2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2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2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2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2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2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2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2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2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2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2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2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2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2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2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2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2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2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2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2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2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2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2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2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2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2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2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2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2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2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2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2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2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2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2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2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2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2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2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2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2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2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2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2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2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2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2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2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2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2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2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2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2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2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2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2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2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2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2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2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2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2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2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2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2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2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2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2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2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2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2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2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2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2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2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2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2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2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2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2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2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2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2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2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2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2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2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2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2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2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2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2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2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2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2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2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2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2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2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2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2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2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2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2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2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2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2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2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2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2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2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2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2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2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2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2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2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2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2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2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2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2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2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2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2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2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2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2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2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2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2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2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2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2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2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2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2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2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2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2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2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2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2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2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2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2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2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2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2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2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2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2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2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2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2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2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2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2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2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2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2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2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2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2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2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2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2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2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2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2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2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2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2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2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2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2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2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2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2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2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2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2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2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2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2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2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2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2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2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2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2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2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2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2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2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2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2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2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2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2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2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2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2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2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2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2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2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2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2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2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2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2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2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2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2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2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2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2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2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2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2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2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2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2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2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2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2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2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2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2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2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2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2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2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2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2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2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2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2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2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2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2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2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2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2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2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2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2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2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2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2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2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2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2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2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2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2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2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2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2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2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2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2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2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2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2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2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2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2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2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2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2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2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2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2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2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2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2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2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2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2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2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2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2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2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2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2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2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2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2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2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2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2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2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2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2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2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2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2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2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2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2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2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2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2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2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1">
    <mergeCell ref="A1:F1"/>
    <mergeCell ref="G1:J2"/>
    <mergeCell ref="D2:E2"/>
    <mergeCell ref="A3:F3"/>
    <mergeCell ref="G3:G74"/>
    <mergeCell ref="H3:J5"/>
    <mergeCell ref="B4:C4"/>
    <mergeCell ref="D4:F4"/>
    <mergeCell ref="B5:C5"/>
    <mergeCell ref="D5:F5"/>
    <mergeCell ref="B6:C6"/>
    <mergeCell ref="D6:F6"/>
    <mergeCell ref="I6:J6"/>
    <mergeCell ref="B7:C7"/>
    <mergeCell ref="D7:F7"/>
    <mergeCell ref="H7:J8"/>
    <mergeCell ref="B8:C8"/>
    <mergeCell ref="D8:F8"/>
    <mergeCell ref="A9:F9"/>
    <mergeCell ref="H18:J20"/>
    <mergeCell ref="C20:F20"/>
    <mergeCell ref="A21:F21"/>
    <mergeCell ref="I21:I22"/>
    <mergeCell ref="H29:J35"/>
    <mergeCell ref="D31:F31"/>
    <mergeCell ref="A32:F32"/>
    <mergeCell ref="C33:F33"/>
    <mergeCell ref="C34:F34"/>
    <mergeCell ref="H36:J36"/>
    <mergeCell ref="C37:F37"/>
    <mergeCell ref="H37:J41"/>
    <mergeCell ref="C38:F38"/>
    <mergeCell ref="H42:I42"/>
    <mergeCell ref="J42:J44"/>
    <mergeCell ref="A43:F43"/>
    <mergeCell ref="A49:F49"/>
    <mergeCell ref="H53:J74"/>
    <mergeCell ref="C54:F54"/>
    <mergeCell ref="A55:F55"/>
    <mergeCell ref="A58:F58"/>
    <mergeCell ref="C59:F59"/>
    <mergeCell ref="C65:F65"/>
    <mergeCell ref="A66:F66"/>
    <mergeCell ref="C69:F69"/>
    <mergeCell ref="C70:F70"/>
    <mergeCell ref="A71:F71"/>
    <mergeCell ref="A72:F72"/>
    <mergeCell ref="C73:F73"/>
    <mergeCell ref="C74:F74"/>
    <mergeCell ref="C75:F75"/>
    <mergeCell ref="A76:J76"/>
  </mergeCells>
  <dataValidations count="6">
    <dataValidation allowBlank="true" errorStyle="stop" operator="equal" prompt="Combustible Inválido - Ingrese uno de los valores de la Tabla V: Tipos de Combustible o Fuente de Energía de la Estandarización de Características Registrables Vehiculares." showDropDown="false" showErrorMessage="true" showInputMessage="true" sqref="F15" type="list">
      <formula1>$L$3:$L$24</formula1>
      <formula2>0</formula2>
    </dataValidation>
    <dataValidation allowBlank="true" errorStyle="stop" operator="equal" prompt="Dato Inválido - Seleccione una de las posibles ubicaciones de la lista desplegable." showDropDown="false" showErrorMessage="true" showInputMessage="true" sqref="C44" type="list">
      <formula1>"NO CORRESPONDE,DELANTERO,CENTRAL,POSTERIOR"</formula1>
      <formula2>0</formula2>
    </dataValidation>
    <dataValidation allowBlank="true" errorStyle="stop" operator="equal" prompt="Valor Inválido - Seleccione una posible posición de la lista desplegable." showDropDown="false" showErrorMessage="true" showInputMessage="true" sqref="F44" type="list">
      <formula1>"NO CORRESPONDE,TRANSVERSAL,LONGITUDINAL"</formula1>
      <formula2>0</formula2>
    </dataValidation>
    <dataValidation allowBlank="true" errorStyle="stop" operator="equal" prompt="Valor Inválido - Selecciona una configuración posible de la lista desplegable." showDropDown="false" showErrorMessage="true" showInputMessage="true" sqref="F45" type="list">
      <formula1>"NO CORRESPONDE,EN LÍNEA,EN V,EN V 90º,OPUESTOS HORIZONTALMENTE"</formula1>
      <formula2>0</formula2>
    </dataValidation>
    <dataValidation allowBlank="true" errorStyle="stop" operator="equal" prompt="Valor Inválido - Seleccione un valor de la lista despegable que corresponda a la Tabla IV del a estandarización vehicular." showDropDown="false" showErrorMessage="true" showInputMessage="true" sqref="F56" type="list">
      <formula1>$M$3:$M$8</formula1>
      <formula2>0</formula2>
    </dataValidation>
    <dataValidation allowBlank="true" errorStyle="stop" operator="equal" prompt="Selección - Debe seleccionar uno de los valores definidos para esta celda." showDropDown="false" showErrorMessage="true" showInputMessage="true" sqref="H75" type="list">
      <formula1>"Lima,Callao,Paita,Piura,Tumbes,Salaverry,Trujillo,Pisco,Moquegua,Matarini,Ilo,Mollendo,Tacna,Puerto Maldonado,Iñapari,Pucallpa,Iquitos,Puno"</formula1>
      <formula2>0</formula2>
    </dataValidation>
  </dataValidations>
  <printOptions headings="false" gridLines="false" gridLinesSet="true" horizontalCentered="true" verticalCentered="true"/>
  <pageMargins left="0.511805555555556" right="0.196527777777778" top="1.18125" bottom="0.39375" header="0" footer="0"/>
  <pageSetup paperSize="9" scale="75" fitToWidth="1" fitToHeight="1" pageOrder="downThenOver" orientation="portrait" blackAndWhite="false" draft="false" cellComments="none" horizontalDpi="300" verticalDpi="300" copies="1"/>
  <headerFooter differentFirst="false" differentOddEven="false">
    <oddHeader>&amp;LCIP 73933&amp;CIng. Emilio David Vidal Domínguez&amp;R&amp;P de</oddHeader>
    <oddFooter>&amp;L Confidencial&amp;C&amp;F&amp;RPágina &amp;P</oddFooter>
  </headerFooter>
  <rowBreaks count="1" manualBreakCount="1">
    <brk id="48" man="true" max="16383" min="0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4" name="No Corresponde">
              <controlPr defaultSize="0" locked="1" autoFill="0" autoLine="0" autoPict="0" print="true" altText="Casilla 1">
                <anchor moveWithCells="true" sizeWithCells="false">
                  <from>
                    <xdr:col>8</xdr:col>
                    <xdr:colOff>725400</xdr:colOff>
                    <xdr:row>8</xdr:row>
                    <xdr:rowOff>20880</xdr:rowOff>
                  </from>
                  <to>
                    <xdr:col>10</xdr:col>
                    <xdr:colOff>23760</xdr:colOff>
                    <xdr:row>9</xdr:row>
                    <xdr:rowOff>-17640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5" name="No Corresponde">
              <controlPr defaultSize="0" locked="1" autoFill="0" autoLine="0" autoPict="0" print="true" altText="Casilla 2">
                <anchor moveWithCells="true" sizeWithCells="false">
                  <from>
                    <xdr:col>7</xdr:col>
                    <xdr:colOff>783360</xdr:colOff>
                    <xdr:row>27</xdr:row>
                    <xdr:rowOff>43920</xdr:rowOff>
                  </from>
                  <to>
                    <xdr:col>9</xdr:col>
                    <xdr:colOff>63720</xdr:colOff>
                    <xdr:row>28</xdr:row>
                    <xdr:rowOff>-175320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6" name="No Corresponde">
              <controlPr defaultSize="0" locked="1" autoFill="0" autoLine="0" autoPict="0" print="true" altText="Casilla 3">
                <anchor moveWithCells="true" sizeWithCells="false">
                  <from>
                    <xdr:col>8</xdr:col>
                    <xdr:colOff>811080</xdr:colOff>
                    <xdr:row>47</xdr:row>
                    <xdr:rowOff>19440</xdr:rowOff>
                  </from>
                  <to>
                    <xdr:col>15</xdr:col>
                    <xdr:colOff>138240</xdr:colOff>
                    <xdr:row>48</xdr:row>
                    <xdr:rowOff>57240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emplate>Ficha Técnica</Template>
  <TotalTime>4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2026-07-24T21:13:09Z</dcterms:created>
  <dc:creator/>
  <dc:description/>
  <dc:language>es-PE</dc:language>
  <cp:lastModifiedBy/>
  <dcterms:modified xsi:type="dcterms:W3CDTF">2026-07-24T21:17:18Z</dcterms:modified>
  <cp:revision>2</cp:revision>
  <dc:subject/>
  <dc:title/>
</cp:coreProperties>
</file>